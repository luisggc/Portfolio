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DeTrabalho"/>
  <bookViews>
    <workbookView xWindow="0" yWindow="0" windowWidth="22260" windowHeight="12645" activeTab="2"/>
  </bookViews>
  <sheets>
    <sheet name="Geral" sheetId="3" r:id="rId1"/>
    <sheet name="Ramificada" sheetId="2" r:id="rId2"/>
    <sheet name="Malhada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" l="1"/>
  <c r="J27" i="1"/>
  <c r="J29" i="1"/>
  <c r="J32" i="1"/>
  <c r="J34" i="1"/>
  <c r="J23" i="1"/>
  <c r="H34" i="1"/>
  <c r="H32" i="1"/>
  <c r="H29" i="1"/>
  <c r="H27" i="1"/>
  <c r="H25" i="1"/>
  <c r="M22" i="2" l="1"/>
  <c r="C4" i="1"/>
  <c r="C3" i="1"/>
  <c r="E6" i="2"/>
  <c r="E5" i="2"/>
  <c r="E4" i="2"/>
  <c r="E3" i="2"/>
  <c r="C4" i="2"/>
  <c r="C3" i="2"/>
  <c r="D7" i="3"/>
  <c r="M31" i="3"/>
  <c r="J31" i="3"/>
  <c r="J30" i="3"/>
  <c r="M30" i="3"/>
  <c r="M29" i="3"/>
  <c r="J29" i="3"/>
  <c r="J27" i="3"/>
  <c r="D25" i="3"/>
  <c r="D24" i="3"/>
  <c r="D23" i="3"/>
  <c r="M27" i="3"/>
  <c r="G24" i="3"/>
  <c r="G23" i="3"/>
  <c r="G25" i="3" s="1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11" i="2"/>
  <c r="G26" i="3" l="1"/>
  <c r="J23" i="3"/>
  <c r="M23" i="3"/>
  <c r="M24" i="3"/>
  <c r="M26" i="3" s="1"/>
  <c r="J24" i="3"/>
  <c r="J26" i="3" s="1"/>
  <c r="D26" i="3"/>
  <c r="C33" i="1"/>
  <c r="C31" i="1"/>
  <c r="D30" i="1"/>
  <c r="C30" i="1"/>
  <c r="D28" i="1"/>
  <c r="C28" i="1"/>
  <c r="D26" i="1"/>
  <c r="C26" i="1"/>
  <c r="D24" i="1"/>
  <c r="C24" i="1"/>
  <c r="D16" i="1"/>
  <c r="P15" i="1"/>
  <c r="P14" i="1"/>
  <c r="E14" i="1"/>
  <c r="D31" i="1" s="1"/>
  <c r="P13" i="1"/>
  <c r="E13" i="1"/>
  <c r="P12" i="1"/>
  <c r="E12" i="1"/>
  <c r="P11" i="1"/>
  <c r="E11" i="1"/>
  <c r="E71" i="2"/>
  <c r="F71" i="2" s="1"/>
  <c r="M70" i="2"/>
  <c r="L70" i="2"/>
  <c r="E69" i="2"/>
  <c r="F69" i="2" s="1"/>
  <c r="M68" i="2"/>
  <c r="L68" i="2"/>
  <c r="E67" i="2"/>
  <c r="F67" i="2" s="1"/>
  <c r="M66" i="2"/>
  <c r="L66" i="2"/>
  <c r="E65" i="2"/>
  <c r="F65" i="2" s="1"/>
  <c r="M64" i="2"/>
  <c r="L64" i="2"/>
  <c r="E63" i="2"/>
  <c r="F63" i="2" s="1"/>
  <c r="M62" i="2"/>
  <c r="L62" i="2"/>
  <c r="E61" i="2"/>
  <c r="F61" i="2" s="1"/>
  <c r="M60" i="2"/>
  <c r="L60" i="2"/>
  <c r="E59" i="2"/>
  <c r="F59" i="2" s="1"/>
  <c r="M58" i="2"/>
  <c r="L58" i="2"/>
  <c r="E57" i="2"/>
  <c r="F57" i="2" s="1"/>
  <c r="M56" i="2"/>
  <c r="L56" i="2"/>
  <c r="E55" i="2"/>
  <c r="F55" i="2" s="1"/>
  <c r="M54" i="2"/>
  <c r="L54" i="2"/>
  <c r="E53" i="2"/>
  <c r="F53" i="2" s="1"/>
  <c r="M52" i="2"/>
  <c r="L52" i="2"/>
  <c r="E51" i="2"/>
  <c r="F51" i="2" s="1"/>
  <c r="M50" i="2"/>
  <c r="L50" i="2"/>
  <c r="E49" i="2"/>
  <c r="F49" i="2" s="1"/>
  <c r="M48" i="2"/>
  <c r="L48" i="2"/>
  <c r="E47" i="2"/>
  <c r="F47" i="2" s="1"/>
  <c r="M46" i="2"/>
  <c r="L46" i="2"/>
  <c r="E45" i="2"/>
  <c r="F45" i="2" s="1"/>
  <c r="M44" i="2"/>
  <c r="L44" i="2"/>
  <c r="E43" i="2"/>
  <c r="F43" i="2" s="1"/>
  <c r="M42" i="2"/>
  <c r="L42" i="2"/>
  <c r="E41" i="2"/>
  <c r="F41" i="2" s="1"/>
  <c r="M40" i="2"/>
  <c r="L40" i="2"/>
  <c r="E39" i="2"/>
  <c r="F39" i="2" s="1"/>
  <c r="M38" i="2"/>
  <c r="L38" i="2"/>
  <c r="E37" i="2"/>
  <c r="F37" i="2" s="1"/>
  <c r="M36" i="2"/>
  <c r="L36" i="2"/>
  <c r="E35" i="2"/>
  <c r="F35" i="2" s="1"/>
  <c r="M34" i="2"/>
  <c r="L34" i="2"/>
  <c r="E33" i="2"/>
  <c r="F33" i="2" s="1"/>
  <c r="M32" i="2"/>
  <c r="L32" i="2"/>
  <c r="E31" i="2"/>
  <c r="F31" i="2" s="1"/>
  <c r="M30" i="2"/>
  <c r="L30" i="2"/>
  <c r="E29" i="2"/>
  <c r="F29" i="2" s="1"/>
  <c r="M28" i="2"/>
  <c r="L28" i="2"/>
  <c r="E27" i="2"/>
  <c r="F27" i="2" s="1"/>
  <c r="M26" i="2"/>
  <c r="L26" i="2"/>
  <c r="E25" i="2"/>
  <c r="F25" i="2" s="1"/>
  <c r="M24" i="2"/>
  <c r="L24" i="2"/>
  <c r="E23" i="2"/>
  <c r="F23" i="2" s="1"/>
  <c r="L22" i="2"/>
  <c r="E21" i="2"/>
  <c r="F21" i="2" s="1"/>
  <c r="M20" i="2"/>
  <c r="L20" i="2"/>
  <c r="E19" i="2"/>
  <c r="F19" i="2" s="1"/>
  <c r="M18" i="2"/>
  <c r="L18" i="2"/>
  <c r="E17" i="2"/>
  <c r="F17" i="2" s="1"/>
  <c r="M16" i="2"/>
  <c r="L16" i="2"/>
  <c r="E15" i="2"/>
  <c r="F15" i="2" s="1"/>
  <c r="M14" i="2"/>
  <c r="L14" i="2"/>
  <c r="E13" i="2"/>
  <c r="G13" i="2" s="1"/>
  <c r="J13" i="2" s="1"/>
  <c r="M12" i="2"/>
  <c r="L12" i="2"/>
  <c r="E11" i="2"/>
  <c r="G11" i="2" s="1"/>
  <c r="J11" i="2" s="1"/>
  <c r="C6" i="2"/>
  <c r="E14" i="2" s="1"/>
  <c r="F14" i="2" s="1"/>
  <c r="C5" i="2"/>
  <c r="C12" i="1"/>
  <c r="E30" i="1"/>
  <c r="E31" i="1"/>
  <c r="C13" i="1"/>
  <c r="E26" i="1"/>
  <c r="G26" i="1" s="1"/>
  <c r="E28" i="1"/>
  <c r="G28" i="1" s="1"/>
  <c r="C11" i="1"/>
  <c r="F11" i="1" s="1"/>
  <c r="C14" i="1"/>
  <c r="E24" i="1"/>
  <c r="F12" i="1"/>
  <c r="E15" i="1" l="1"/>
  <c r="G51" i="2"/>
  <c r="J51" i="2" s="1"/>
  <c r="F13" i="2"/>
  <c r="G19" i="2"/>
  <c r="J19" i="2" s="1"/>
  <c r="G35" i="2"/>
  <c r="J35" i="2" s="1"/>
  <c r="G67" i="2"/>
  <c r="J67" i="2" s="1"/>
  <c r="G27" i="2"/>
  <c r="J27" i="2" s="1"/>
  <c r="G43" i="2"/>
  <c r="J43" i="2" s="1"/>
  <c r="G59" i="2"/>
  <c r="J59" i="2" s="1"/>
  <c r="E12" i="2"/>
  <c r="F12" i="2" s="1"/>
  <c r="F11" i="2"/>
  <c r="G15" i="2"/>
  <c r="J15" i="2" s="1"/>
  <c r="G23" i="2"/>
  <c r="K23" i="2" s="1"/>
  <c r="G31" i="2"/>
  <c r="J31" i="2" s="1"/>
  <c r="G39" i="2"/>
  <c r="J39" i="2" s="1"/>
  <c r="G47" i="2"/>
  <c r="J47" i="2" s="1"/>
  <c r="G55" i="2"/>
  <c r="J55" i="2" s="1"/>
  <c r="G63" i="2"/>
  <c r="J63" i="2" s="1"/>
  <c r="G71" i="2"/>
  <c r="J71" i="2" s="1"/>
  <c r="G14" i="2"/>
  <c r="E70" i="2"/>
  <c r="E68" i="2"/>
  <c r="E66" i="2"/>
  <c r="E64" i="2"/>
  <c r="E62" i="2"/>
  <c r="E60" i="2"/>
  <c r="E58" i="2"/>
  <c r="E56" i="2"/>
  <c r="E54" i="2"/>
  <c r="E52" i="2"/>
  <c r="E50" i="2"/>
  <c r="E48" i="2"/>
  <c r="E46" i="2"/>
  <c r="E44" i="2"/>
  <c r="E42" i="2"/>
  <c r="E40" i="2"/>
  <c r="E38" i="2"/>
  <c r="E36" i="2"/>
  <c r="E34" i="2"/>
  <c r="E32" i="2"/>
  <c r="E30" i="2"/>
  <c r="E28" i="2"/>
  <c r="E26" i="2"/>
  <c r="E24" i="2"/>
  <c r="E22" i="2"/>
  <c r="E20" i="2"/>
  <c r="E18" i="2"/>
  <c r="E16" i="2"/>
  <c r="G17" i="2"/>
  <c r="J17" i="2" s="1"/>
  <c r="G21" i="2"/>
  <c r="J21" i="2" s="1"/>
  <c r="G25" i="2"/>
  <c r="J25" i="2" s="1"/>
  <c r="G29" i="2"/>
  <c r="J29" i="2" s="1"/>
  <c r="G33" i="2"/>
  <c r="J33" i="2" s="1"/>
  <c r="G37" i="2"/>
  <c r="J37" i="2" s="1"/>
  <c r="G41" i="2"/>
  <c r="J41" i="2" s="1"/>
  <c r="G45" i="2"/>
  <c r="J45" i="2" s="1"/>
  <c r="G49" i="2"/>
  <c r="J49" i="2" s="1"/>
  <c r="G53" i="2"/>
  <c r="J53" i="2" s="1"/>
  <c r="G57" i="2"/>
  <c r="J57" i="2" s="1"/>
  <c r="G61" i="2"/>
  <c r="J61" i="2" s="1"/>
  <c r="G65" i="2"/>
  <c r="J65" i="2" s="1"/>
  <c r="G69" i="2"/>
  <c r="J69" i="2" s="1"/>
  <c r="J28" i="3"/>
  <c r="M25" i="3"/>
  <c r="M28" i="3"/>
  <c r="J25" i="3"/>
  <c r="N28" i="3"/>
  <c r="G11" i="1"/>
  <c r="G12" i="1"/>
  <c r="F24" i="1"/>
  <c r="F28" i="1"/>
  <c r="F31" i="1"/>
  <c r="F26" i="1"/>
  <c r="F30" i="1"/>
  <c r="H23" i="2"/>
  <c r="I11" i="2"/>
  <c r="K11" i="2"/>
  <c r="H11" i="2"/>
  <c r="I13" i="2"/>
  <c r="K13" i="2"/>
  <c r="H13" i="2"/>
  <c r="K15" i="2"/>
  <c r="I19" i="2"/>
  <c r="H19" i="2"/>
  <c r="I27" i="2"/>
  <c r="H29" i="2"/>
  <c r="K31" i="2"/>
  <c r="K35" i="2"/>
  <c r="H43" i="2"/>
  <c r="K47" i="2"/>
  <c r="I51" i="2"/>
  <c r="K51" i="2"/>
  <c r="H51" i="2"/>
  <c r="H53" i="2"/>
  <c r="H55" i="2"/>
  <c r="K63" i="2"/>
  <c r="C15" i="1"/>
  <c r="F15" i="1" s="1"/>
  <c r="G24" i="1"/>
  <c r="F13" i="1"/>
  <c r="G30" i="1"/>
  <c r="F14" i="1"/>
  <c r="G31" i="1"/>
  <c r="H14" i="2"/>
  <c r="G15" i="1" l="1"/>
  <c r="D33" i="1"/>
  <c r="I71" i="2"/>
  <c r="H59" i="2"/>
  <c r="K41" i="2"/>
  <c r="I23" i="2"/>
  <c r="I59" i="2"/>
  <c r="I49" i="2"/>
  <c r="H35" i="2"/>
  <c r="I35" i="2"/>
  <c r="H27" i="2"/>
  <c r="K65" i="2"/>
  <c r="K57" i="2"/>
  <c r="H49" i="2"/>
  <c r="I43" i="2"/>
  <c r="H39" i="2"/>
  <c r="K33" i="2"/>
  <c r="K25" i="2"/>
  <c r="K19" i="2"/>
  <c r="K17" i="2"/>
  <c r="K67" i="2"/>
  <c r="H71" i="2"/>
  <c r="H65" i="2"/>
  <c r="I65" i="2"/>
  <c r="H57" i="2"/>
  <c r="I57" i="2"/>
  <c r="I55" i="2"/>
  <c r="K49" i="2"/>
  <c r="K43" i="2"/>
  <c r="H41" i="2"/>
  <c r="I41" i="2"/>
  <c r="I39" i="2"/>
  <c r="H33" i="2"/>
  <c r="I33" i="2"/>
  <c r="H25" i="2"/>
  <c r="I25" i="2"/>
  <c r="H17" i="2"/>
  <c r="I17" i="2"/>
  <c r="H67" i="2"/>
  <c r="I67" i="2"/>
  <c r="H63" i="2"/>
  <c r="I63" i="2"/>
  <c r="K59" i="2"/>
  <c r="H47" i="2"/>
  <c r="I47" i="2"/>
  <c r="K45" i="2"/>
  <c r="I37" i="2"/>
  <c r="H31" i="2"/>
  <c r="I31" i="2"/>
  <c r="K27" i="2"/>
  <c r="H15" i="2"/>
  <c r="I15" i="2"/>
  <c r="K71" i="2"/>
  <c r="K69" i="2"/>
  <c r="K55" i="2"/>
  <c r="K61" i="2"/>
  <c r="I53" i="2"/>
  <c r="K39" i="2"/>
  <c r="H37" i="2"/>
  <c r="K21" i="2"/>
  <c r="I29" i="2"/>
  <c r="J23" i="2"/>
  <c r="G12" i="2"/>
  <c r="G16" i="2"/>
  <c r="F16" i="2"/>
  <c r="G20" i="2"/>
  <c r="F20" i="2"/>
  <c r="G24" i="2"/>
  <c r="F24" i="2"/>
  <c r="G28" i="2"/>
  <c r="F28" i="2"/>
  <c r="G32" i="2"/>
  <c r="F32" i="2"/>
  <c r="G36" i="2"/>
  <c r="F36" i="2"/>
  <c r="G40" i="2"/>
  <c r="F40" i="2"/>
  <c r="G44" i="2"/>
  <c r="F44" i="2"/>
  <c r="G48" i="2"/>
  <c r="F48" i="2"/>
  <c r="G52" i="2"/>
  <c r="F52" i="2"/>
  <c r="G56" i="2"/>
  <c r="F56" i="2"/>
  <c r="G60" i="2"/>
  <c r="F60" i="2"/>
  <c r="G64" i="2"/>
  <c r="F64" i="2"/>
  <c r="G68" i="2"/>
  <c r="F68" i="2"/>
  <c r="H69" i="2"/>
  <c r="I69" i="2"/>
  <c r="H61" i="2"/>
  <c r="I61" i="2"/>
  <c r="K53" i="2"/>
  <c r="H45" i="2"/>
  <c r="I45" i="2"/>
  <c r="K37" i="2"/>
  <c r="H21" i="2"/>
  <c r="I21" i="2"/>
  <c r="K29" i="2"/>
  <c r="G18" i="2"/>
  <c r="F18" i="2"/>
  <c r="G22" i="2"/>
  <c r="F22" i="2"/>
  <c r="G26" i="2"/>
  <c r="F26" i="2"/>
  <c r="G30" i="2"/>
  <c r="F30" i="2"/>
  <c r="G34" i="2"/>
  <c r="F34" i="2"/>
  <c r="G38" i="2"/>
  <c r="F38" i="2"/>
  <c r="G42" i="2"/>
  <c r="F42" i="2"/>
  <c r="G46" i="2"/>
  <c r="F46" i="2"/>
  <c r="G50" i="2"/>
  <c r="F50" i="2"/>
  <c r="G54" i="2"/>
  <c r="F54" i="2"/>
  <c r="G58" i="2"/>
  <c r="F58" i="2"/>
  <c r="G62" i="2"/>
  <c r="F62" i="2"/>
  <c r="G66" i="2"/>
  <c r="F66" i="2"/>
  <c r="G70" i="2"/>
  <c r="F70" i="2"/>
  <c r="G14" i="1"/>
  <c r="F16" i="1"/>
  <c r="G13" i="1"/>
  <c r="G16" i="1" s="1"/>
  <c r="I14" i="2"/>
  <c r="E33" i="1"/>
  <c r="G33" i="1" s="1"/>
  <c r="H12" i="2"/>
  <c r="H16" i="2"/>
  <c r="H20" i="2"/>
  <c r="H24" i="2"/>
  <c r="H28" i="2"/>
  <c r="H32" i="2"/>
  <c r="H36" i="2"/>
  <c r="K36" i="2" s="1"/>
  <c r="H40" i="2"/>
  <c r="H44" i="2"/>
  <c r="H48" i="2"/>
  <c r="H52" i="2"/>
  <c r="H56" i="2"/>
  <c r="H60" i="2"/>
  <c r="H64" i="2"/>
  <c r="H68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K70" i="2"/>
  <c r="K68" i="2"/>
  <c r="K66" i="2"/>
  <c r="K62" i="2"/>
  <c r="K60" i="2"/>
  <c r="K58" i="2"/>
  <c r="K54" i="2"/>
  <c r="K52" i="2"/>
  <c r="K50" i="2"/>
  <c r="K46" i="2"/>
  <c r="K44" i="2"/>
  <c r="K42" i="2"/>
  <c r="K38" i="2"/>
  <c r="K32" i="2"/>
  <c r="K30" i="2"/>
  <c r="K28" i="2"/>
  <c r="K24" i="2"/>
  <c r="K22" i="2"/>
  <c r="K20" i="2"/>
  <c r="K16" i="2"/>
  <c r="K14" i="2"/>
  <c r="K12" i="2"/>
  <c r="K40" i="2"/>
  <c r="K48" i="2"/>
  <c r="K56" i="2"/>
  <c r="K64" i="2"/>
  <c r="K18" i="2"/>
  <c r="K26" i="2"/>
  <c r="K34" i="2"/>
  <c r="F33" i="1" l="1"/>
  <c r="I12" i="2"/>
  <c r="J34" i="2"/>
  <c r="J26" i="2"/>
  <c r="J18" i="2"/>
  <c r="J64" i="2"/>
  <c r="J56" i="2"/>
  <c r="J48" i="2"/>
  <c r="J40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68" i="2"/>
  <c r="I64" i="2"/>
  <c r="I60" i="2"/>
  <c r="I56" i="2"/>
  <c r="I52" i="2"/>
  <c r="I48" i="2"/>
  <c r="I44" i="2"/>
  <c r="I40" i="2"/>
  <c r="J36" i="2"/>
  <c r="I32" i="2"/>
  <c r="I28" i="2"/>
  <c r="I24" i="2"/>
  <c r="I20" i="2"/>
  <c r="I16" i="2"/>
  <c r="I36" i="2"/>
  <c r="H14" i="1"/>
  <c r="I14" i="1" s="1"/>
  <c r="J68" i="2"/>
  <c r="J60" i="2"/>
  <c r="J52" i="2"/>
  <c r="J44" i="2"/>
  <c r="J30" i="2"/>
  <c r="J22" i="2"/>
  <c r="J14" i="2"/>
  <c r="J70" i="2"/>
  <c r="J66" i="2"/>
  <c r="J62" i="2"/>
  <c r="J58" i="2"/>
  <c r="J54" i="2"/>
  <c r="J50" i="2"/>
  <c r="J46" i="2"/>
  <c r="J42" i="2"/>
  <c r="J38" i="2"/>
  <c r="J32" i="2"/>
  <c r="J28" i="2"/>
  <c r="J24" i="2"/>
  <c r="J20" i="2"/>
  <c r="J16" i="2"/>
  <c r="J12" i="2"/>
  <c r="H13" i="1"/>
  <c r="I13" i="1" s="1"/>
  <c r="H12" i="1"/>
  <c r="I12" i="1" s="1"/>
  <c r="H11" i="1"/>
  <c r="I11" i="1" s="1"/>
  <c r="H15" i="1"/>
  <c r="I15" i="1" s="1"/>
  <c r="J14" i="1"/>
  <c r="J15" i="1"/>
  <c r="J12" i="1"/>
  <c r="J11" i="1"/>
  <c r="J13" i="1"/>
  <c r="K14" i="1" l="1"/>
  <c r="K15" i="1"/>
  <c r="K12" i="1"/>
  <c r="K11" i="1"/>
  <c r="J16" i="1"/>
  <c r="K13" i="1"/>
  <c r="K16" i="1" l="1"/>
  <c r="L14" i="1" s="1"/>
  <c r="M14" i="1" s="1"/>
  <c r="L13" i="1" l="1"/>
  <c r="M13" i="1" s="1"/>
  <c r="L12" i="1"/>
  <c r="M12" i="1" s="1"/>
  <c r="L11" i="1"/>
  <c r="M11" i="1" s="1"/>
  <c r="L15" i="1"/>
  <c r="M15" i="1" s="1"/>
</calcChain>
</file>

<file path=xl/sharedStrings.xml><?xml version="1.0" encoding="utf-8"?>
<sst xmlns="http://schemas.openxmlformats.org/spreadsheetml/2006/main" count="184" uniqueCount="84">
  <si>
    <t>Q[0,1]</t>
  </si>
  <si>
    <t>Tabela Rede Malhada</t>
  </si>
  <si>
    <t>Trecho</t>
  </si>
  <si>
    <t>Do (mm)</t>
  </si>
  <si>
    <t>Extensão (m)</t>
  </si>
  <si>
    <t>ho (m)</t>
  </si>
  <si>
    <t>Vazão Qo (l/s)</t>
  </si>
  <si>
    <t>1,85xho/Qo</t>
  </si>
  <si>
    <t>Delta1</t>
  </si>
  <si>
    <t>Q1</t>
  </si>
  <si>
    <t>h1</t>
  </si>
  <si>
    <t>1,85xh1/Q1</t>
  </si>
  <si>
    <t>Delta2</t>
  </si>
  <si>
    <t>Q2</t>
  </si>
  <si>
    <t>Somatório</t>
  </si>
  <si>
    <t>Saídas nos pontos</t>
  </si>
  <si>
    <t>Pontos</t>
  </si>
  <si>
    <t>Valores Arbitrados</t>
  </si>
  <si>
    <t>Q[1,5]</t>
  </si>
  <si>
    <t>C</t>
  </si>
  <si>
    <t>Dados</t>
  </si>
  <si>
    <t>-</t>
  </si>
  <si>
    <t>Sentido adotado</t>
  </si>
  <si>
    <t>+</t>
  </si>
  <si>
    <t>Trecho ou Nó</t>
  </si>
  <si>
    <t>Vazão</t>
  </si>
  <si>
    <t>D</t>
  </si>
  <si>
    <t>V</t>
  </si>
  <si>
    <t>h</t>
  </si>
  <si>
    <t>Cota Piezom</t>
  </si>
  <si>
    <t>Cota do nó</t>
  </si>
  <si>
    <t>Pressão disp.</t>
  </si>
  <si>
    <t>Qjus</t>
  </si>
  <si>
    <t>Qtrecho</t>
  </si>
  <si>
    <t>Qmont</t>
  </si>
  <si>
    <t>Qfic</t>
  </si>
  <si>
    <t>Tabela Rede Ramificada</t>
  </si>
  <si>
    <t>D (mm)</t>
  </si>
  <si>
    <t>V (m/s)</t>
  </si>
  <si>
    <t>J (m/m)</t>
  </si>
  <si>
    <t>h=J*L</t>
  </si>
  <si>
    <t>Cota Piez (m)</t>
  </si>
  <si>
    <t>Pressão Disp (m.c.a.)</t>
  </si>
  <si>
    <t>Ltotal</t>
  </si>
  <si>
    <t>q</t>
  </si>
  <si>
    <t>k1</t>
  </si>
  <si>
    <t>k2</t>
  </si>
  <si>
    <t>Dados do Projeto</t>
  </si>
  <si>
    <t>Crescimento</t>
  </si>
  <si>
    <t>Tempo de Projeto</t>
  </si>
  <si>
    <t>Dados da População</t>
  </si>
  <si>
    <t>Dados Encanamento</t>
  </si>
  <si>
    <t>C (Rugosidade)</t>
  </si>
  <si>
    <t>% Ramificada</t>
  </si>
  <si>
    <t>% Malhada</t>
  </si>
  <si>
    <t>População total atual</t>
  </si>
  <si>
    <t>Cálculos do Projeto</t>
  </si>
  <si>
    <t>População</t>
  </si>
  <si>
    <t>A ser determinado</t>
  </si>
  <si>
    <t>Conta</t>
  </si>
  <si>
    <t>Valor</t>
  </si>
  <si>
    <t>Crescimento Ramificada</t>
  </si>
  <si>
    <t>Crescimento Malhada</t>
  </si>
  <si>
    <t>População Ramificada Futura</t>
  </si>
  <si>
    <t>População Malhada Futura</t>
  </si>
  <si>
    <t>Per Capta Ramificada</t>
  </si>
  <si>
    <t>Per Capta Malhada</t>
  </si>
  <si>
    <t>Trechos</t>
  </si>
  <si>
    <t>Q(Ramificada)</t>
  </si>
  <si>
    <t>Q(Fábrica)</t>
  </si>
  <si>
    <t>Q(res,ETA)</t>
  </si>
  <si>
    <t>Q(M2,ETA)</t>
  </si>
  <si>
    <t>Q(M1)</t>
  </si>
  <si>
    <t>Q(M2)</t>
  </si>
  <si>
    <t>Q(Malhada)</t>
  </si>
  <si>
    <t>Saída Total</t>
  </si>
  <si>
    <t>Regime reservatório</t>
  </si>
  <si>
    <t>Consumo fábrica</t>
  </si>
  <si>
    <t>Qp(Ramificada)</t>
  </si>
  <si>
    <t>Qp(Malhada)</t>
  </si>
  <si>
    <t>Q(M2)/(Q(M1)+Q(M2))</t>
  </si>
  <si>
    <t>Q(ramificada)</t>
  </si>
  <si>
    <t>Per Capta</t>
  </si>
  <si>
    <t>Cota do Nó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</si>
</sst>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0000"/>
    <numFmt numFmtId="165" formatCode="[=0]0;[&lt;&gt;0]0.00"/>
    <numFmt numFmtId="166" formatCode="#%"/>
    <numFmt numFmtId="167" formatCode="General&quot; anos&quot;"/>
    <numFmt numFmtId="168" formatCode="General&quot;h/dia&quot;"/>
    <numFmt numFmtId="169" formatCode="General&quot;hab/ano&quot;"/>
    <numFmt numFmtId="170" formatCode="General&quot;l/(hab*dia)&quot;"/>
    <numFmt numFmtId="171" formatCode="General&quot;hab&quot;"/>
    <numFmt numFmtId="172" formatCode="General&quot;m³/dia&quot;"/>
    <numFmt numFmtId="173" formatCode="General&quot;l/s&quot;"/>
    <numFmt numFmtId="174" formatCode="0.00\l&quot;l/s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ont="1" applyAlignment="1">
      <alignment horizontal="center"/>
    </xf>
    <xf numFmtId="171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174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 applyProtection="1">
      <alignment horizontal="center"/>
      <protection locked="0"/>
    </xf>
    <xf numFmtId="165" fontId="3" fillId="0" borderId="2" xfId="0" applyNumberFormat="1" applyFont="1" applyBorder="1" applyAlignment="1" applyProtection="1">
      <alignment horizontal="center"/>
      <protection locked="0"/>
    </xf>
    <xf numFmtId="2" fontId="3" fillId="0" borderId="2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2" fontId="1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2" fontId="0" fillId="0" borderId="0" xfId="0" applyNumberFormat="1" applyFont="1" applyAlignment="1" applyProtection="1">
      <alignment horizontal="center"/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2" fontId="1" fillId="0" borderId="0" xfId="0" applyNumberFormat="1" applyFont="1"/>
    <xf numFmtId="2" fontId="1" fillId="0" borderId="0" xfId="0" applyNumberFormat="1" applyFont="1" applyProtection="1">
      <protection locked="0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180975</xdr:rowOff>
        </xdr:from>
        <xdr:to>
          <xdr:col>8</xdr:col>
          <xdr:colOff>400050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Usar dados Gerais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3</xdr:row>
          <xdr:rowOff>123825</xdr:rowOff>
        </xdr:from>
        <xdr:to>
          <xdr:col>8</xdr:col>
          <xdr:colOff>238125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2</xdr:row>
          <xdr:rowOff>152400</xdr:rowOff>
        </xdr:from>
        <xdr:to>
          <xdr:col>9</xdr:col>
          <xdr:colOff>542925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Usar dados Gerais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Q36"/>
  <sheetViews>
    <sheetView showGridLines="0" workbookViewId="0">
      <selection activeCell="F16" sqref="F16"/>
    </sheetView>
  </sheetViews>
  <sheetFormatPr defaultRowHeight="15" x14ac:dyDescent="0.25"/>
  <cols>
    <col min="3" max="3" width="27" bestFit="1" customWidth="1"/>
    <col min="4" max="4" width="14" customWidth="1"/>
    <col min="6" max="6" width="19.140625" bestFit="1" customWidth="1"/>
    <col min="7" max="7" width="10.42578125" customWidth="1"/>
    <col min="8" max="8" width="3.140625" customWidth="1"/>
    <col min="9" max="9" width="14.85546875" bestFit="1" customWidth="1"/>
    <col min="12" max="12" width="32.42578125" customWidth="1"/>
  </cols>
  <sheetData>
    <row r="1" spans="2:14" x14ac:dyDescent="0.25">
      <c r="C1" s="12"/>
      <c r="D1" s="12"/>
      <c r="E1" s="12"/>
      <c r="F1" s="12"/>
      <c r="G1" s="12"/>
      <c r="H1" s="12"/>
      <c r="I1" s="12"/>
      <c r="J1" s="12"/>
      <c r="K1" s="12"/>
    </row>
    <row r="2" spans="2:14" x14ac:dyDescent="0.25">
      <c r="B2" s="12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14" x14ac:dyDescent="0.25">
      <c r="B3" s="12"/>
      <c r="C3" s="30" t="s">
        <v>47</v>
      </c>
      <c r="D3" s="30"/>
      <c r="E3" s="30"/>
      <c r="F3" s="30"/>
      <c r="G3" s="30"/>
      <c r="H3" s="29"/>
      <c r="I3" s="29"/>
      <c r="J3" s="29"/>
      <c r="K3" s="29"/>
      <c r="L3" s="29"/>
      <c r="M3" s="29"/>
      <c r="N3" s="29"/>
    </row>
    <row r="4" spans="2:14" x14ac:dyDescent="0.25">
      <c r="B4" s="12"/>
      <c r="C4" s="30" t="s">
        <v>50</v>
      </c>
      <c r="D4" s="30"/>
      <c r="E4" s="29"/>
      <c r="F4" s="30" t="s">
        <v>51</v>
      </c>
      <c r="G4" s="30"/>
      <c r="H4" s="29"/>
      <c r="I4" s="29"/>
      <c r="J4" s="29"/>
      <c r="K4" s="29"/>
      <c r="L4" s="29"/>
      <c r="M4" s="29"/>
      <c r="N4" s="29"/>
    </row>
    <row r="5" spans="2:14" x14ac:dyDescent="0.25">
      <c r="B5" s="12"/>
      <c r="C5" s="29" t="s">
        <v>55</v>
      </c>
      <c r="D5" s="17">
        <v>22300</v>
      </c>
      <c r="E5" s="29"/>
      <c r="F5" s="29" t="s">
        <v>52</v>
      </c>
      <c r="G5" s="22">
        <v>100</v>
      </c>
      <c r="H5" s="29"/>
      <c r="I5" s="29"/>
      <c r="J5" s="29"/>
      <c r="K5" s="29"/>
      <c r="L5" s="29"/>
      <c r="M5" s="29"/>
      <c r="N5" s="29"/>
    </row>
    <row r="6" spans="2:14" x14ac:dyDescent="0.25">
      <c r="B6" s="12"/>
      <c r="C6" s="29" t="s">
        <v>53</v>
      </c>
      <c r="D6" s="18">
        <v>0.48</v>
      </c>
      <c r="E6" s="29"/>
      <c r="F6" s="29"/>
      <c r="G6" s="29"/>
      <c r="H6" s="29"/>
      <c r="I6" s="29"/>
      <c r="J6" s="29"/>
      <c r="K6" s="29"/>
      <c r="L6" s="29"/>
      <c r="M6" s="29"/>
      <c r="N6" s="29"/>
    </row>
    <row r="7" spans="2:14" x14ac:dyDescent="0.25">
      <c r="B7" s="12"/>
      <c r="C7" s="29" t="s">
        <v>54</v>
      </c>
      <c r="D7" s="18">
        <f>1-D6</f>
        <v>0.52</v>
      </c>
      <c r="E7" s="29"/>
      <c r="F7" s="29"/>
      <c r="G7" s="29"/>
      <c r="H7" s="29"/>
      <c r="I7" s="29"/>
      <c r="J7" s="29"/>
      <c r="K7" s="29"/>
      <c r="L7" s="29"/>
      <c r="M7" s="29"/>
      <c r="N7" s="29"/>
    </row>
    <row r="8" spans="2:14" x14ac:dyDescent="0.25">
      <c r="B8" s="12"/>
      <c r="C8" s="29" t="s">
        <v>65</v>
      </c>
      <c r="D8" s="19">
        <v>210</v>
      </c>
      <c r="E8" s="29"/>
      <c r="F8" s="29"/>
      <c r="G8" s="29"/>
      <c r="H8" s="29"/>
      <c r="I8" s="29"/>
      <c r="J8" s="29"/>
      <c r="K8" s="29"/>
      <c r="L8" s="29"/>
      <c r="M8" s="29"/>
      <c r="N8" s="29"/>
    </row>
    <row r="9" spans="2:14" x14ac:dyDescent="0.25">
      <c r="B9" s="12"/>
      <c r="C9" s="29" t="s">
        <v>66</v>
      </c>
      <c r="D9" s="19">
        <v>200</v>
      </c>
      <c r="E9" s="29"/>
      <c r="F9" s="29"/>
      <c r="G9" s="29"/>
      <c r="H9" s="29"/>
      <c r="I9" s="29"/>
      <c r="J9" s="29"/>
      <c r="K9" s="29"/>
      <c r="L9" s="29"/>
      <c r="M9" s="29"/>
      <c r="N9" s="29"/>
    </row>
    <row r="10" spans="2:14" x14ac:dyDescent="0.25">
      <c r="B10" s="12"/>
      <c r="C10" s="29" t="s">
        <v>48</v>
      </c>
      <c r="D10" s="20">
        <v>150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</row>
    <row r="11" spans="2:14" x14ac:dyDescent="0.25">
      <c r="B11" s="12"/>
      <c r="C11" s="29" t="s">
        <v>49</v>
      </c>
      <c r="D11" s="21">
        <v>30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</row>
    <row r="12" spans="2:14" x14ac:dyDescent="0.25">
      <c r="B12" s="12"/>
      <c r="C12" s="29" t="s">
        <v>45</v>
      </c>
      <c r="D12" s="22">
        <v>1.2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</row>
    <row r="13" spans="2:14" x14ac:dyDescent="0.25">
      <c r="B13" s="12"/>
      <c r="C13" s="29" t="s">
        <v>46</v>
      </c>
      <c r="D13" s="22">
        <v>1.5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</row>
    <row r="14" spans="2:14" x14ac:dyDescent="0.25">
      <c r="B14" s="12"/>
      <c r="C14" s="29" t="s">
        <v>77</v>
      </c>
      <c r="D14" s="23">
        <v>3060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2:14" x14ac:dyDescent="0.25">
      <c r="B15" s="12"/>
      <c r="C15" s="29" t="s">
        <v>76</v>
      </c>
      <c r="D15" s="24">
        <v>18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</row>
    <row r="16" spans="2:14" x14ac:dyDescent="0.25">
      <c r="B16" s="12"/>
      <c r="C16" s="29" t="s">
        <v>80</v>
      </c>
      <c r="D16" s="18">
        <v>0.55000000000000004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</row>
    <row r="17" spans="2:17" x14ac:dyDescent="0.25">
      <c r="B17" s="12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</row>
    <row r="18" spans="2:17" x14ac:dyDescent="0.25">
      <c r="B18" s="12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</row>
    <row r="19" spans="2:17" x14ac:dyDescent="0.25">
      <c r="B19" s="12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</row>
    <row r="20" spans="2:17" x14ac:dyDescent="0.25">
      <c r="B20" s="12"/>
      <c r="C20" s="30" t="s">
        <v>56</v>
      </c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29"/>
      <c r="O20" s="13"/>
      <c r="P20" s="13"/>
      <c r="Q20" s="13"/>
    </row>
    <row r="21" spans="2:17" x14ac:dyDescent="0.25">
      <c r="B21" s="12"/>
      <c r="C21" s="30" t="s">
        <v>57</v>
      </c>
      <c r="D21" s="30"/>
      <c r="E21" s="30"/>
      <c r="F21" s="30"/>
      <c r="G21" s="30"/>
      <c r="H21" s="29"/>
      <c r="I21" s="30" t="s">
        <v>67</v>
      </c>
      <c r="J21" s="30"/>
      <c r="K21" s="30"/>
      <c r="L21" s="30"/>
      <c r="M21" s="30"/>
      <c r="N21" s="29"/>
    </row>
    <row r="22" spans="2:17" x14ac:dyDescent="0.25">
      <c r="B22" s="12"/>
      <c r="C22" s="29" t="s">
        <v>58</v>
      </c>
      <c r="D22" s="30" t="s">
        <v>59</v>
      </c>
      <c r="E22" s="30"/>
      <c r="F22" s="30"/>
      <c r="G22" s="29" t="s">
        <v>60</v>
      </c>
      <c r="H22" s="29"/>
      <c r="I22" s="29" t="s">
        <v>25</v>
      </c>
      <c r="J22" s="30" t="s">
        <v>59</v>
      </c>
      <c r="K22" s="30"/>
      <c r="L22" s="30"/>
      <c r="M22" s="29" t="s">
        <v>60</v>
      </c>
      <c r="N22" s="29"/>
    </row>
    <row r="23" spans="2:17" x14ac:dyDescent="0.25">
      <c r="B23" s="12"/>
      <c r="C23" s="29" t="s">
        <v>61</v>
      </c>
      <c r="D23" s="30" t="str">
        <f>CONCATENATE($D$10,"*",$D$11)</f>
        <v>150*30</v>
      </c>
      <c r="E23" s="30"/>
      <c r="F23" s="30"/>
      <c r="G23" s="15">
        <f>D10*D11</f>
        <v>4500</v>
      </c>
      <c r="H23" s="29"/>
      <c r="I23" s="29" t="s">
        <v>78</v>
      </c>
      <c r="J23" s="30" t="str">
        <f>CONCATENATE(G25,"*",D8,"/86400")</f>
        <v>15204*210/86400</v>
      </c>
      <c r="K23" s="30"/>
      <c r="L23" s="30"/>
      <c r="M23" s="16">
        <f>G25*D8/86400</f>
        <v>36.954166666666666</v>
      </c>
      <c r="N23" s="29"/>
    </row>
    <row r="24" spans="2:17" x14ac:dyDescent="0.25">
      <c r="B24" s="12"/>
      <c r="C24" s="29" t="s">
        <v>62</v>
      </c>
      <c r="D24" s="30" t="str">
        <f>CONCATENATE($D$10,"*",$D$11)</f>
        <v>150*30</v>
      </c>
      <c r="E24" s="30"/>
      <c r="F24" s="30"/>
      <c r="G24" s="15">
        <f>D10*D11</f>
        <v>4500</v>
      </c>
      <c r="H24" s="29"/>
      <c r="I24" s="29" t="s">
        <v>79</v>
      </c>
      <c r="J24" s="30" t="str">
        <f>CONCATENATE(G26,"*",D9,"/86400")</f>
        <v>16096*200/86400</v>
      </c>
      <c r="K24" s="30"/>
      <c r="L24" s="30"/>
      <c r="M24" s="16">
        <f>G26*D9/86400</f>
        <v>37.25925925925926</v>
      </c>
      <c r="N24" s="29"/>
    </row>
    <row r="25" spans="2:17" x14ac:dyDescent="0.25">
      <c r="B25" s="12"/>
      <c r="C25" s="29" t="s">
        <v>63</v>
      </c>
      <c r="D25" s="30" t="str">
        <f>CONCATENATE(,D6*100,"%*",$D$5,"+ ",C23,)</f>
        <v>48%*22300+ Crescimento Ramificada</v>
      </c>
      <c r="E25" s="30"/>
      <c r="F25" s="30"/>
      <c r="G25" s="15">
        <f>D6*$D$5+G23</f>
        <v>15204</v>
      </c>
      <c r="H25" s="29"/>
      <c r="I25" s="29" t="s">
        <v>68</v>
      </c>
      <c r="J25" s="30" t="str">
        <f>CONCATENATE(,$D$12,"*",$D$13,"*(",J23,")"," + Saídas")</f>
        <v>1,2*1,5*(15204*210/86400) + Saídas</v>
      </c>
      <c r="K25" s="30"/>
      <c r="L25" s="30"/>
      <c r="M25" s="16">
        <f>$D$12*$D$13*M23+Ramificada!G3</f>
        <v>126.5175</v>
      </c>
      <c r="N25" s="29"/>
    </row>
    <row r="26" spans="2:17" x14ac:dyDescent="0.25">
      <c r="B26" s="12"/>
      <c r="C26" s="29" t="s">
        <v>64</v>
      </c>
      <c r="D26" s="30" t="str">
        <f>CONCATENATE(,D7*100,"%*",$D$5,"+ ",C24,)</f>
        <v>52%*22300+ Crescimento Malhada</v>
      </c>
      <c r="E26" s="30"/>
      <c r="F26" s="30"/>
      <c r="G26" s="15">
        <f>D7*$D$5+G24</f>
        <v>16096</v>
      </c>
      <c r="H26" s="29"/>
      <c r="I26" s="29" t="s">
        <v>74</v>
      </c>
      <c r="J26" s="30" t="str">
        <f>CONCATENATE(,$D$12,"*",$D$13,"*(",J24,")")</f>
        <v>1,2*1,5*(16096*200/86400)</v>
      </c>
      <c r="K26" s="30"/>
      <c r="L26" s="30"/>
      <c r="M26" s="16">
        <f>$D$12*$D$13*M24</f>
        <v>67.066666666666663</v>
      </c>
      <c r="N26" s="29"/>
    </row>
    <row r="27" spans="2:17" x14ac:dyDescent="0.25">
      <c r="B27" s="12"/>
      <c r="C27" s="29"/>
      <c r="D27" s="29"/>
      <c r="E27" s="29"/>
      <c r="F27" s="29"/>
      <c r="G27" s="29"/>
      <c r="H27" s="29"/>
      <c r="I27" s="29" t="s">
        <v>69</v>
      </c>
      <c r="J27" s="30" t="str">
        <f>CONCATENATE(D14*1000,"/86400")</f>
        <v>3060000/86400</v>
      </c>
      <c r="K27" s="30"/>
      <c r="L27" s="30"/>
      <c r="M27" s="16">
        <f>D14*1000/86400</f>
        <v>35.416666666666664</v>
      </c>
      <c r="N27" s="29"/>
    </row>
    <row r="28" spans="2:17" x14ac:dyDescent="0.25">
      <c r="B28" s="12"/>
      <c r="C28" s="29"/>
      <c r="D28" s="29"/>
      <c r="E28" s="29"/>
      <c r="F28" s="29"/>
      <c r="G28" s="29"/>
      <c r="H28" s="29"/>
      <c r="I28" s="29" t="s">
        <v>70</v>
      </c>
      <c r="J28" s="30" t="str">
        <f>CONCATENATE("(24/",D15,")","*{",$D$12,"*[(",ROUND($M$23,2),")+(",ROUND($M$24,2),")]+",ROUND($M$27,2),"+ Saídas}")</f>
        <v>(24/18)*{1,2*[(36,95)+(37,26)]+35,42+ Saídas}</v>
      </c>
      <c r="K28" s="30"/>
      <c r="L28" s="30"/>
      <c r="M28" s="16">
        <f>(24/$D$15)*($D$12*($M$23+$M$24)+$M$27+Ramificada!G3)</f>
        <v>245.96370370370369</v>
      </c>
      <c r="N28" s="33" t="str">
        <f>CONCATENATE("(",D15,"/24)","*{",$D$12,"*[(",$J$23,")+(",$J$24,")]+",$J$27,"+ Saída")</f>
        <v>(18/24)*{1,2*[(15204*210/86400)+(16096*200/86400)]+3060000/86400+ Saída</v>
      </c>
    </row>
    <row r="29" spans="2:17" x14ac:dyDescent="0.25">
      <c r="B29" s="12"/>
      <c r="C29" s="29"/>
      <c r="D29" s="29"/>
      <c r="E29" s="29"/>
      <c r="F29" s="29"/>
      <c r="G29" s="29"/>
      <c r="H29" s="29"/>
      <c r="I29" s="29" t="s">
        <v>71</v>
      </c>
      <c r="J29" s="30" t="str">
        <f>CONCATENATE(ROUND(M28,2),"*1,04")</f>
        <v>245,96*1,04</v>
      </c>
      <c r="K29" s="30"/>
      <c r="L29" s="30"/>
      <c r="M29" s="16">
        <f>M28*1.04</f>
        <v>255.80225185185185</v>
      </c>
      <c r="N29" s="29"/>
    </row>
    <row r="30" spans="2:17" x14ac:dyDescent="0.25">
      <c r="C30" s="29"/>
      <c r="D30" s="29"/>
      <c r="E30" s="29"/>
      <c r="F30" s="29"/>
      <c r="G30" s="29"/>
      <c r="H30" s="29"/>
      <c r="I30" s="29" t="s">
        <v>73</v>
      </c>
      <c r="J30" s="30" t="str">
        <f>CONCATENATE(D16*100,"%*",ROUND(M29,2))</f>
        <v>55%*255,8</v>
      </c>
      <c r="K30" s="30"/>
      <c r="L30" s="30"/>
      <c r="M30" s="16">
        <f>M29*D16</f>
        <v>140.69123851851853</v>
      </c>
      <c r="N30" s="29"/>
    </row>
    <row r="31" spans="2:17" x14ac:dyDescent="0.25">
      <c r="C31" s="29"/>
      <c r="D31" s="29"/>
      <c r="E31" s="29"/>
      <c r="F31" s="29"/>
      <c r="G31" s="29"/>
      <c r="H31" s="29"/>
      <c r="I31" s="29" t="s">
        <v>72</v>
      </c>
      <c r="J31" s="30" t="str">
        <f>CONCATENATE(ROUND(M29,2),"-",ROUND(M30,2))</f>
        <v>255,8-140,69</v>
      </c>
      <c r="K31" s="30"/>
      <c r="L31" s="30"/>
      <c r="M31" s="16">
        <f>M29-M30</f>
        <v>115.11101333333332</v>
      </c>
      <c r="N31" s="29"/>
    </row>
    <row r="32" spans="2:17" x14ac:dyDescent="0.25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16"/>
      <c r="N32" s="29"/>
    </row>
    <row r="33" spans="3:14" x14ac:dyDescent="0.25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16"/>
      <c r="N33" s="29"/>
    </row>
    <row r="34" spans="3:14" x14ac:dyDescent="0.25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16"/>
      <c r="N34" s="29"/>
    </row>
    <row r="35" spans="3:14" x14ac:dyDescent="0.25">
      <c r="M35" s="16"/>
    </row>
    <row r="36" spans="3:14" x14ac:dyDescent="0.25">
      <c r="M36" s="16"/>
    </row>
  </sheetData>
  <sheetProtection selectLockedCells="1"/>
  <mergeCells count="21">
    <mergeCell ref="J27:L27"/>
    <mergeCell ref="J28:L28"/>
    <mergeCell ref="J29:L29"/>
    <mergeCell ref="J30:L30"/>
    <mergeCell ref="J31:L31"/>
    <mergeCell ref="D26:F26"/>
    <mergeCell ref="C21:G21"/>
    <mergeCell ref="C4:D4"/>
    <mergeCell ref="F4:G4"/>
    <mergeCell ref="C3:G3"/>
    <mergeCell ref="C20:M20"/>
    <mergeCell ref="I21:M21"/>
    <mergeCell ref="D22:F22"/>
    <mergeCell ref="D23:F23"/>
    <mergeCell ref="D25:F25"/>
    <mergeCell ref="D24:F24"/>
    <mergeCell ref="J22:L22"/>
    <mergeCell ref="J25:L25"/>
    <mergeCell ref="J26:L26"/>
    <mergeCell ref="J23:L23"/>
    <mergeCell ref="J24:L2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P1181"/>
  <sheetViews>
    <sheetView topLeftCell="A39" workbookViewId="0">
      <selection activeCell="G60" sqref="G60"/>
    </sheetView>
  </sheetViews>
  <sheetFormatPr defaultRowHeight="15" x14ac:dyDescent="0.25"/>
  <cols>
    <col min="1" max="1" width="9.140625" style="3"/>
    <col min="2" max="2" width="9.85546875" style="5" customWidth="1"/>
    <col min="3" max="3" width="12.5703125" style="5" bestFit="1" customWidth="1"/>
    <col min="4" max="4" width="9" style="10" customWidth="1"/>
    <col min="5" max="5" width="13.5703125" style="8" bestFit="1" customWidth="1"/>
    <col min="6" max="6" width="14.140625" style="8" bestFit="1" customWidth="1"/>
    <col min="7" max="7" width="17.7109375" style="8" bestFit="1" customWidth="1"/>
    <col min="8" max="8" width="7.5703125" style="6" bestFit="1" customWidth="1"/>
    <col min="9" max="9" width="7.5703125" style="8" bestFit="1" customWidth="1"/>
    <col min="10" max="10" width="9.5703125" style="9" bestFit="1" customWidth="1"/>
    <col min="11" max="11" width="11" style="8" bestFit="1" customWidth="1"/>
    <col min="12" max="12" width="8.5703125" style="8" customWidth="1"/>
    <col min="13" max="13" width="9.7109375" style="5" customWidth="1"/>
    <col min="14" max="14" width="11.7109375" style="4" customWidth="1"/>
    <col min="15" max="15" width="15.7109375" style="4" customWidth="1"/>
    <col min="16" max="16" width="11.85546875" style="4" customWidth="1"/>
    <col min="17" max="17" width="9.140625" style="4"/>
    <col min="18" max="18" width="16.7109375" style="4" bestFit="1" customWidth="1"/>
    <col min="19" max="16384" width="9.140625" style="4"/>
  </cols>
  <sheetData>
    <row r="1" spans="2:16" s="3" customFormat="1" x14ac:dyDescent="0.25"/>
    <row r="2" spans="2:16" s="3" customFormat="1" x14ac:dyDescent="0.25">
      <c r="B2" s="31" t="s">
        <v>20</v>
      </c>
      <c r="C2" s="31"/>
      <c r="D2" s="31"/>
      <c r="E2" s="31"/>
      <c r="F2" s="31"/>
      <c r="G2" s="31"/>
      <c r="H2" s="4"/>
      <c r="I2" s="4"/>
      <c r="J2" s="4"/>
      <c r="K2" s="14"/>
      <c r="L2" s="11"/>
      <c r="M2" s="11"/>
      <c r="N2" s="11"/>
      <c r="O2" s="14"/>
      <c r="P2" s="11"/>
    </row>
    <row r="3" spans="2:16" s="3" customFormat="1" x14ac:dyDescent="0.25">
      <c r="B3" s="14" t="s">
        <v>81</v>
      </c>
      <c r="C3" s="25">
        <f>Geral!M25</f>
        <v>126.5175</v>
      </c>
      <c r="D3" s="4" t="s">
        <v>45</v>
      </c>
      <c r="E3" s="5">
        <f>Geral!D12</f>
        <v>1.2</v>
      </c>
      <c r="F3" s="14" t="s">
        <v>75</v>
      </c>
      <c r="G3" s="4">
        <v>60</v>
      </c>
      <c r="H3" s="4"/>
      <c r="I3" s="4"/>
      <c r="J3" s="4"/>
      <c r="K3" s="11"/>
      <c r="L3" s="11"/>
      <c r="M3" s="11"/>
      <c r="N3" s="11"/>
      <c r="O3" s="11"/>
      <c r="P3" s="11"/>
    </row>
    <row r="4" spans="2:16" s="3" customFormat="1" x14ac:dyDescent="0.25">
      <c r="B4" s="11" t="s">
        <v>19</v>
      </c>
      <c r="C4" s="5">
        <f>Geral!G5</f>
        <v>100</v>
      </c>
      <c r="D4" s="4" t="s">
        <v>46</v>
      </c>
      <c r="E4" s="5">
        <f>Geral!D13</f>
        <v>1.5</v>
      </c>
      <c r="F4" s="4"/>
      <c r="G4" s="4"/>
      <c r="H4" s="4"/>
      <c r="I4" s="4"/>
      <c r="J4" s="4"/>
      <c r="K4" s="11"/>
      <c r="L4" s="11"/>
      <c r="M4" s="14"/>
      <c r="N4" s="11"/>
      <c r="O4" s="11"/>
      <c r="P4" s="11"/>
    </row>
    <row r="5" spans="2:16" s="3" customFormat="1" x14ac:dyDescent="0.25">
      <c r="B5" s="11" t="s">
        <v>43</v>
      </c>
      <c r="C5" s="4">
        <f>SUM(C11:C71)</f>
        <v>15550</v>
      </c>
      <c r="D5" s="14" t="s">
        <v>57</v>
      </c>
      <c r="E5" s="5">
        <f>Geral!G25</f>
        <v>15204</v>
      </c>
      <c r="F5" s="4"/>
      <c r="G5" s="4"/>
      <c r="H5" s="4"/>
      <c r="I5" s="4"/>
      <c r="J5" s="4"/>
      <c r="K5" s="11"/>
      <c r="L5" s="11"/>
      <c r="M5" s="14"/>
      <c r="N5" s="11"/>
      <c r="O5" s="11"/>
      <c r="P5" s="11"/>
    </row>
    <row r="6" spans="2:16" s="3" customFormat="1" x14ac:dyDescent="0.25">
      <c r="B6" s="11" t="s">
        <v>44</v>
      </c>
      <c r="C6" s="4">
        <f>(E3*E4*E6*E5)/(86400*C5)</f>
        <v>4.2776527331189708E-3</v>
      </c>
      <c r="D6" s="14" t="s">
        <v>82</v>
      </c>
      <c r="E6" s="5">
        <f>Geral!D8</f>
        <v>210</v>
      </c>
      <c r="F6" s="4"/>
      <c r="G6" s="4"/>
      <c r="H6" s="4"/>
      <c r="I6" s="4"/>
      <c r="J6" s="4"/>
      <c r="K6" s="11"/>
      <c r="L6" s="11"/>
      <c r="M6" s="11"/>
      <c r="N6" s="11"/>
      <c r="O6" s="11"/>
      <c r="P6" s="11"/>
    </row>
    <row r="7" spans="2:16" s="3" customFormat="1" x14ac:dyDescent="0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2:16" x14ac:dyDescent="0.25">
      <c r="B8" s="34" t="s">
        <v>36</v>
      </c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</row>
    <row r="9" spans="2:16" x14ac:dyDescent="0.25">
      <c r="B9" s="44" t="s">
        <v>24</v>
      </c>
      <c r="C9" s="35" t="s">
        <v>4</v>
      </c>
      <c r="D9" s="36" t="s">
        <v>6</v>
      </c>
      <c r="E9" s="36"/>
      <c r="F9" s="36"/>
      <c r="G9" s="36"/>
      <c r="H9" s="35" t="s">
        <v>37</v>
      </c>
      <c r="I9" s="35" t="s">
        <v>38</v>
      </c>
      <c r="J9" s="35" t="s">
        <v>39</v>
      </c>
      <c r="K9" s="35" t="s">
        <v>40</v>
      </c>
      <c r="L9" s="44" t="s">
        <v>41</v>
      </c>
      <c r="M9" s="46" t="s">
        <v>83</v>
      </c>
      <c r="N9" s="44" t="s">
        <v>42</v>
      </c>
    </row>
    <row r="10" spans="2:16" x14ac:dyDescent="0.25">
      <c r="B10" s="45"/>
      <c r="C10" s="37"/>
      <c r="D10" s="38" t="s">
        <v>32</v>
      </c>
      <c r="E10" s="38" t="s">
        <v>33</v>
      </c>
      <c r="F10" s="38" t="s">
        <v>34</v>
      </c>
      <c r="G10" s="38" t="s">
        <v>35</v>
      </c>
      <c r="H10" s="37"/>
      <c r="I10" s="37"/>
      <c r="J10" s="37"/>
      <c r="K10" s="37"/>
      <c r="L10" s="45"/>
      <c r="M10" s="45"/>
      <c r="N10" s="45"/>
    </row>
    <row r="11" spans="2:16" x14ac:dyDescent="0.25">
      <c r="B11" s="5">
        <v>30</v>
      </c>
      <c r="C11" s="5" t="s">
        <v>21</v>
      </c>
      <c r="D11" s="10">
        <v>0</v>
      </c>
      <c r="E11" s="8" t="str">
        <f>IF(C11="-","-",$C$6*C11)</f>
        <v>-</v>
      </c>
      <c r="F11" s="8">
        <f>IF(E11="-",D11,D11+E11)</f>
        <v>0</v>
      </c>
      <c r="G11" s="8" t="str">
        <f>IF(E11="-","-",D11+E11/2)</f>
        <v>-</v>
      </c>
      <c r="H11" s="6" t="str">
        <f>IF(G11="-","-",calcd(G11))</f>
        <v>-</v>
      </c>
      <c r="I11" s="8" t="str">
        <f>IF(G11="-","-",(G12*10^(-3))/(PI()*(H12*10^(-3))^2/4))</f>
        <v>-</v>
      </c>
      <c r="J11" s="9" t="str">
        <f>IF(G11="-","-",K11/C11)</f>
        <v>-</v>
      </c>
      <c r="K11" s="8" t="str">
        <f>IF(G11="-","-",calch(C11,$C$4,G11,H11))</f>
        <v>-</v>
      </c>
      <c r="L11" s="8">
        <v>366.43052867654075</v>
      </c>
      <c r="M11" s="5">
        <v>317</v>
      </c>
      <c r="N11" s="8">
        <f>IF(C11&lt;&gt;"-","-",L11-M11)</f>
        <v>49.430528676540746</v>
      </c>
    </row>
    <row r="12" spans="2:16" x14ac:dyDescent="0.25">
      <c r="B12" s="5">
        <v>30.26</v>
      </c>
      <c r="C12" s="5">
        <v>200</v>
      </c>
      <c r="D12" s="10">
        <v>0</v>
      </c>
      <c r="E12" s="8">
        <f t="shared" ref="E12:E71" si="0">IF(C12="-","-",$C$6*C12)</f>
        <v>0.85553054662379413</v>
      </c>
      <c r="F12" s="8">
        <f t="shared" ref="F12:F71" si="1">IF(E12="-",D12,D12+E12)</f>
        <v>0.85553054662379413</v>
      </c>
      <c r="G12" s="8">
        <f t="shared" ref="G12:G71" si="2">IF(E12="-","-",D12+E12/2)</f>
        <v>0.42776527331189707</v>
      </c>
      <c r="H12" s="6">
        <f>IF(G12="-","-",calcd(G12))</f>
        <v>50</v>
      </c>
      <c r="I12" s="8">
        <f>IF(G12="-","-",(G12*10^(-3))/(PI()*(H12*10^(-3))^2/4))</f>
        <v>0.21785906473806091</v>
      </c>
      <c r="J12" s="9">
        <f>IF(G12="-","-",K12/C12)</f>
        <v>2.6324390151854452E-3</v>
      </c>
      <c r="K12" s="8">
        <f t="shared" ref="K12:K69" si="3">IF(G12="-","-",calch(C12,$C$4,G12,H12))</f>
        <v>0.52648780303708909</v>
      </c>
      <c r="L12" s="8" t="str">
        <f>IF(C12&lt;&gt;"-","-","")</f>
        <v>-</v>
      </c>
      <c r="M12" s="5" t="str">
        <f>IF(C12="-","","-")</f>
        <v>-</v>
      </c>
      <c r="N12" s="8" t="str">
        <f t="shared" ref="N12:N71" si="4">IF(C12&lt;&gt;"-","-",L12-M12)</f>
        <v>-</v>
      </c>
    </row>
    <row r="13" spans="2:16" x14ac:dyDescent="0.25">
      <c r="B13" s="5">
        <v>29</v>
      </c>
      <c r="C13" s="5" t="s">
        <v>21</v>
      </c>
      <c r="D13" s="10">
        <v>0</v>
      </c>
      <c r="E13" s="8" t="str">
        <f t="shared" si="0"/>
        <v>-</v>
      </c>
      <c r="F13" s="8">
        <f t="shared" si="1"/>
        <v>0</v>
      </c>
      <c r="G13" s="8" t="str">
        <f t="shared" si="2"/>
        <v>-</v>
      </c>
      <c r="H13" s="6" t="str">
        <f t="shared" ref="H13:H71" si="5">IF(G13="-","-",calcd(G13))</f>
        <v>-</v>
      </c>
      <c r="I13" s="8" t="str">
        <f t="shared" ref="I13:I71" si="6">IF(G13="-","-",(G13*10^(-3))/(PI()*(H13*10^(-3))^2/4))</f>
        <v>-</v>
      </c>
      <c r="J13" s="9" t="str">
        <f t="shared" ref="J13:J71" si="7">IF(G13="-","-",K13/C13)</f>
        <v>-</v>
      </c>
      <c r="K13" s="8" t="str">
        <f t="shared" si="3"/>
        <v>-</v>
      </c>
      <c r="L13" s="8">
        <v>366.43052867654075</v>
      </c>
      <c r="M13" s="5">
        <v>316</v>
      </c>
      <c r="N13" s="8">
        <f t="shared" si="4"/>
        <v>50.430528676540746</v>
      </c>
    </row>
    <row r="14" spans="2:16" x14ac:dyDescent="0.25">
      <c r="B14" s="5">
        <v>29.26</v>
      </c>
      <c r="C14" s="5">
        <v>200</v>
      </c>
      <c r="D14" s="10">
        <v>0</v>
      </c>
      <c r="E14" s="8">
        <f t="shared" si="0"/>
        <v>0.85553054662379413</v>
      </c>
      <c r="F14" s="8">
        <f t="shared" si="1"/>
        <v>0.85553054662379413</v>
      </c>
      <c r="G14" s="8">
        <f t="shared" si="2"/>
        <v>0.42776527331189707</v>
      </c>
      <c r="H14" s="6">
        <f>IF(G14="-","-",calcd(G14))</f>
        <v>50</v>
      </c>
      <c r="I14" s="8">
        <f t="shared" si="6"/>
        <v>0.21785906473806091</v>
      </c>
      <c r="J14" s="9">
        <f t="shared" si="7"/>
        <v>2.6324390151854452E-3</v>
      </c>
      <c r="K14" s="8">
        <f t="shared" si="3"/>
        <v>0.52648780303708909</v>
      </c>
      <c r="L14" s="8" t="str">
        <f>IF(C14&lt;&gt;"-","-","")</f>
        <v>-</v>
      </c>
      <c r="M14" s="5" t="str">
        <f>IF(C14&lt;&gt;"-","-","")</f>
        <v>-</v>
      </c>
      <c r="N14" s="8" t="str">
        <f t="shared" si="4"/>
        <v>-</v>
      </c>
    </row>
    <row r="15" spans="2:16" x14ac:dyDescent="0.25">
      <c r="B15" s="5">
        <v>28</v>
      </c>
      <c r="C15" s="5" t="s">
        <v>21</v>
      </c>
      <c r="D15" s="10">
        <v>0</v>
      </c>
      <c r="E15" s="8" t="str">
        <f t="shared" si="0"/>
        <v>-</v>
      </c>
      <c r="F15" s="8">
        <f t="shared" si="1"/>
        <v>0</v>
      </c>
      <c r="G15" s="8" t="str">
        <f t="shared" si="2"/>
        <v>-</v>
      </c>
      <c r="H15" s="7" t="str">
        <f t="shared" si="5"/>
        <v>-</v>
      </c>
      <c r="I15" s="8" t="str">
        <f t="shared" si="6"/>
        <v>-</v>
      </c>
      <c r="J15" s="9" t="str">
        <f t="shared" si="7"/>
        <v>-</v>
      </c>
      <c r="K15" s="8" t="str">
        <f t="shared" si="3"/>
        <v>-</v>
      </c>
      <c r="L15" s="8">
        <v>365.28361331743906</v>
      </c>
      <c r="M15" s="5">
        <v>315</v>
      </c>
      <c r="N15" s="8">
        <f t="shared" si="4"/>
        <v>50.283613317439062</v>
      </c>
    </row>
    <row r="16" spans="2:16" x14ac:dyDescent="0.25">
      <c r="B16" s="5">
        <v>28.26</v>
      </c>
      <c r="C16" s="5">
        <v>300</v>
      </c>
      <c r="D16" s="10">
        <v>0</v>
      </c>
      <c r="E16" s="8">
        <f t="shared" si="0"/>
        <v>1.2832958199356912</v>
      </c>
      <c r="F16" s="8">
        <f t="shared" si="1"/>
        <v>1.2832958199356912</v>
      </c>
      <c r="G16" s="8">
        <f t="shared" si="2"/>
        <v>0.6416479099678456</v>
      </c>
      <c r="H16" s="6">
        <f t="shared" si="5"/>
        <v>50</v>
      </c>
      <c r="I16" s="8">
        <f t="shared" si="6"/>
        <v>0.32678859710709135</v>
      </c>
      <c r="J16" s="9">
        <f t="shared" si="7"/>
        <v>5.5780105404625406E-3</v>
      </c>
      <c r="K16" s="8">
        <f t="shared" si="3"/>
        <v>1.6734031621387622</v>
      </c>
      <c r="L16" s="8" t="str">
        <f>IF(C16&lt;&gt;"-","-","")</f>
        <v>-</v>
      </c>
      <c r="M16" s="5" t="str">
        <f>IF(C16&lt;&gt;"-","-","")</f>
        <v>-</v>
      </c>
      <c r="N16" s="8" t="str">
        <f t="shared" si="4"/>
        <v>-</v>
      </c>
    </row>
    <row r="17" spans="2:14" x14ac:dyDescent="0.25">
      <c r="B17" s="5">
        <v>27</v>
      </c>
      <c r="C17" s="5" t="s">
        <v>21</v>
      </c>
      <c r="D17" s="10">
        <v>0</v>
      </c>
      <c r="E17" s="8" t="str">
        <f t="shared" si="0"/>
        <v>-</v>
      </c>
      <c r="F17" s="8">
        <f t="shared" si="1"/>
        <v>0</v>
      </c>
      <c r="G17" s="8" t="str">
        <f t="shared" si="2"/>
        <v>-</v>
      </c>
      <c r="H17" s="6" t="str">
        <f t="shared" si="5"/>
        <v>-</v>
      </c>
      <c r="I17" s="8" t="str">
        <f t="shared" si="6"/>
        <v>-</v>
      </c>
      <c r="J17" s="9" t="str">
        <f t="shared" si="7"/>
        <v>-</v>
      </c>
      <c r="K17" s="8" t="str">
        <f t="shared" si="3"/>
        <v>-</v>
      </c>
      <c r="L17" s="8">
        <v>365.28361331743906</v>
      </c>
      <c r="M17" s="5">
        <v>319</v>
      </c>
      <c r="N17" s="8">
        <f t="shared" si="4"/>
        <v>46.283613317439062</v>
      </c>
    </row>
    <row r="18" spans="2:14" x14ac:dyDescent="0.25">
      <c r="B18" s="5">
        <v>27.26</v>
      </c>
      <c r="C18" s="5">
        <v>300</v>
      </c>
      <c r="D18" s="10">
        <v>0</v>
      </c>
      <c r="E18" s="8">
        <f t="shared" si="0"/>
        <v>1.2832958199356912</v>
      </c>
      <c r="F18" s="8">
        <f t="shared" si="1"/>
        <v>1.2832958199356912</v>
      </c>
      <c r="G18" s="8">
        <f t="shared" si="2"/>
        <v>0.6416479099678456</v>
      </c>
      <c r="H18" s="6">
        <f t="shared" si="5"/>
        <v>50</v>
      </c>
      <c r="I18" s="8">
        <f t="shared" si="6"/>
        <v>0.32678859710709135</v>
      </c>
      <c r="J18" s="9">
        <f t="shared" si="7"/>
        <v>5.5780105404625406E-3</v>
      </c>
      <c r="K18" s="8">
        <f t="shared" si="3"/>
        <v>1.6734031621387622</v>
      </c>
      <c r="L18" s="8" t="str">
        <f>IF(C18&lt;&gt;"-","-","")</f>
        <v>-</v>
      </c>
      <c r="M18" s="5" t="str">
        <f>IF(C18&lt;&gt;"-","-","")</f>
        <v>-</v>
      </c>
      <c r="N18" s="8" t="str">
        <f t="shared" si="4"/>
        <v>-</v>
      </c>
    </row>
    <row r="19" spans="2:14" x14ac:dyDescent="0.25">
      <c r="B19" s="5">
        <v>26</v>
      </c>
      <c r="C19" s="5" t="s">
        <v>21</v>
      </c>
      <c r="D19" s="10">
        <v>4.2776527331189707</v>
      </c>
      <c r="E19" s="8" t="str">
        <f t="shared" si="0"/>
        <v>-</v>
      </c>
      <c r="F19" s="8">
        <f t="shared" si="1"/>
        <v>4.2776527331189707</v>
      </c>
      <c r="G19" s="8" t="str">
        <f t="shared" si="2"/>
        <v>-</v>
      </c>
      <c r="H19" s="6" t="str">
        <f t="shared" si="5"/>
        <v>-</v>
      </c>
      <c r="I19" s="8" t="str">
        <f t="shared" si="6"/>
        <v>-</v>
      </c>
      <c r="J19" s="9" t="str">
        <f t="shared" si="7"/>
        <v>-</v>
      </c>
      <c r="K19" s="8" t="str">
        <f t="shared" si="3"/>
        <v>-</v>
      </c>
      <c r="L19" s="8">
        <v>366.95701647957782</v>
      </c>
      <c r="M19" s="5">
        <v>319</v>
      </c>
      <c r="N19" s="8">
        <f t="shared" si="4"/>
        <v>47.957016479577817</v>
      </c>
    </row>
    <row r="20" spans="2:14" x14ac:dyDescent="0.25">
      <c r="B20" s="5">
        <v>26.19</v>
      </c>
      <c r="C20" s="5">
        <v>300</v>
      </c>
      <c r="D20" s="10">
        <v>4.2776527331189707</v>
      </c>
      <c r="E20" s="8">
        <f t="shared" si="0"/>
        <v>1.2832958199356912</v>
      </c>
      <c r="F20" s="8">
        <f t="shared" si="1"/>
        <v>5.5609485530546614</v>
      </c>
      <c r="G20" s="8">
        <f t="shared" si="2"/>
        <v>4.9193006430868165</v>
      </c>
      <c r="H20" s="6">
        <f t="shared" si="5"/>
        <v>100</v>
      </c>
      <c r="I20" s="8">
        <f t="shared" si="6"/>
        <v>0.62634481112192508</v>
      </c>
      <c r="J20" s="9">
        <f t="shared" si="7"/>
        <v>8.2938206606849533E-3</v>
      </c>
      <c r="K20" s="8">
        <f t="shared" si="3"/>
        <v>2.4881461982054858</v>
      </c>
      <c r="L20" s="8" t="str">
        <f>IF(C20&lt;&gt;"-","-","")</f>
        <v>-</v>
      </c>
      <c r="M20" s="5" t="str">
        <f>IF(C20&lt;&gt;"-","-","")</f>
        <v>-</v>
      </c>
      <c r="N20" s="8" t="str">
        <f t="shared" si="4"/>
        <v>-</v>
      </c>
    </row>
    <row r="21" spans="2:14" x14ac:dyDescent="0.25">
      <c r="B21" s="5">
        <v>20</v>
      </c>
      <c r="C21" s="5" t="s">
        <v>21</v>
      </c>
      <c r="D21" s="10">
        <v>20</v>
      </c>
      <c r="E21" s="8" t="str">
        <f t="shared" si="0"/>
        <v>-</v>
      </c>
      <c r="F21" s="8">
        <f t="shared" si="1"/>
        <v>20</v>
      </c>
      <c r="G21" s="8" t="str">
        <f t="shared" si="2"/>
        <v>-</v>
      </c>
      <c r="H21" s="6" t="str">
        <f t="shared" si="5"/>
        <v>-</v>
      </c>
      <c r="I21" s="8" t="str">
        <f t="shared" si="6"/>
        <v>-</v>
      </c>
      <c r="J21" s="9" t="str">
        <f t="shared" si="7"/>
        <v>-</v>
      </c>
      <c r="K21" s="8" t="str">
        <f t="shared" si="3"/>
        <v>-</v>
      </c>
      <c r="L21" s="8">
        <v>368.23355686212193</v>
      </c>
      <c r="M21" s="5">
        <v>317</v>
      </c>
      <c r="N21" s="8">
        <f t="shared" si="4"/>
        <v>51.233556862121929</v>
      </c>
    </row>
    <row r="22" spans="2:14" x14ac:dyDescent="0.25">
      <c r="B22" s="5">
        <v>20.190000000000001</v>
      </c>
      <c r="C22" s="5">
        <v>300</v>
      </c>
      <c r="D22" s="10">
        <v>20</v>
      </c>
      <c r="E22" s="8">
        <f t="shared" si="0"/>
        <v>1.2832958199356912</v>
      </c>
      <c r="F22" s="8">
        <f t="shared" si="1"/>
        <v>21.283295819935692</v>
      </c>
      <c r="G22" s="8">
        <f t="shared" si="2"/>
        <v>20.641647909967844</v>
      </c>
      <c r="H22" s="6">
        <f t="shared" si="5"/>
        <v>200</v>
      </c>
      <c r="I22" s="8">
        <f t="shared" si="6"/>
        <v>0.65704405968677448</v>
      </c>
      <c r="J22" s="9">
        <f t="shared" si="7"/>
        <v>4.0386860522045468E-3</v>
      </c>
      <c r="K22" s="8">
        <f t="shared" si="3"/>
        <v>1.211605815661364</v>
      </c>
      <c r="L22" s="8" t="str">
        <f>IF(C22&lt;&gt;"-","-","")</f>
        <v>-</v>
      </c>
      <c r="M22" s="5" t="str">
        <f>IF(C22&lt;&gt;"-","-","")</f>
        <v>-</v>
      </c>
      <c r="N22" s="8" t="str">
        <f t="shared" si="4"/>
        <v>-</v>
      </c>
    </row>
    <row r="23" spans="2:14" x14ac:dyDescent="0.25">
      <c r="B23" s="5">
        <v>21</v>
      </c>
      <c r="C23" s="5" t="s">
        <v>21</v>
      </c>
      <c r="D23" s="10">
        <v>0</v>
      </c>
      <c r="E23" s="8" t="str">
        <f t="shared" si="0"/>
        <v>-</v>
      </c>
      <c r="F23" s="8">
        <f t="shared" si="1"/>
        <v>0</v>
      </c>
      <c r="G23" s="8" t="str">
        <f t="shared" si="2"/>
        <v>-</v>
      </c>
      <c r="H23" s="6" t="str">
        <f t="shared" si="5"/>
        <v>-</v>
      </c>
      <c r="I23" s="8" t="str">
        <f t="shared" si="6"/>
        <v>-</v>
      </c>
      <c r="J23" s="9" t="str">
        <f t="shared" si="7"/>
        <v>-</v>
      </c>
      <c r="K23" s="8" t="str">
        <f t="shared" si="3"/>
        <v>-</v>
      </c>
      <c r="L23" s="8">
        <v>367.77175951564453</v>
      </c>
      <c r="M23" s="5">
        <v>318</v>
      </c>
      <c r="N23" s="8">
        <f t="shared" si="4"/>
        <v>49.771759515644533</v>
      </c>
    </row>
    <row r="24" spans="2:14" x14ac:dyDescent="0.25">
      <c r="B24" s="5">
        <v>21.19</v>
      </c>
      <c r="C24" s="5">
        <v>300</v>
      </c>
      <c r="D24" s="10">
        <v>0</v>
      </c>
      <c r="E24" s="8">
        <f t="shared" si="0"/>
        <v>1.2832958199356912</v>
      </c>
      <c r="F24" s="8">
        <f t="shared" si="1"/>
        <v>1.2832958199356912</v>
      </c>
      <c r="G24" s="8">
        <f t="shared" si="2"/>
        <v>0.6416479099678456</v>
      </c>
      <c r="H24" s="6">
        <f t="shared" si="5"/>
        <v>50</v>
      </c>
      <c r="I24" s="8">
        <f t="shared" si="6"/>
        <v>0.32678859710709135</v>
      </c>
      <c r="J24" s="9">
        <f t="shared" si="7"/>
        <v>5.5780105404625406E-3</v>
      </c>
      <c r="K24" s="8">
        <f t="shared" si="3"/>
        <v>1.6734031621387622</v>
      </c>
      <c r="L24" s="8" t="str">
        <f>IF(C24&lt;&gt;"-","-","")</f>
        <v>-</v>
      </c>
      <c r="M24" s="5" t="str">
        <f>IF(C24&lt;&gt;"-","-","")</f>
        <v>-</v>
      </c>
      <c r="N24" s="8" t="str">
        <f t="shared" si="4"/>
        <v>-</v>
      </c>
    </row>
    <row r="25" spans="2:14" x14ac:dyDescent="0.25">
      <c r="B25" s="5">
        <v>24</v>
      </c>
      <c r="C25" s="5" t="s">
        <v>21</v>
      </c>
      <c r="D25" s="10">
        <v>0</v>
      </c>
      <c r="E25" s="8" t="str">
        <f t="shared" si="0"/>
        <v>-</v>
      </c>
      <c r="F25" s="8">
        <f t="shared" si="1"/>
        <v>0</v>
      </c>
      <c r="G25" s="8" t="str">
        <f t="shared" si="2"/>
        <v>-</v>
      </c>
      <c r="H25" s="6" t="str">
        <f t="shared" si="5"/>
        <v>-</v>
      </c>
      <c r="I25" s="8" t="str">
        <f t="shared" si="6"/>
        <v>-</v>
      </c>
      <c r="J25" s="9" t="str">
        <f t="shared" si="7"/>
        <v>-</v>
      </c>
      <c r="K25" s="8" t="str">
        <f t="shared" si="3"/>
        <v>-</v>
      </c>
      <c r="L25" s="8">
        <v>365.66940439732258</v>
      </c>
      <c r="M25" s="5">
        <v>301</v>
      </c>
      <c r="N25" s="8">
        <f t="shared" si="4"/>
        <v>64.66940439732258</v>
      </c>
    </row>
    <row r="26" spans="2:14" x14ac:dyDescent="0.25">
      <c r="B26" s="5">
        <v>24.22</v>
      </c>
      <c r="C26" s="5">
        <v>300</v>
      </c>
      <c r="D26" s="10">
        <v>0</v>
      </c>
      <c r="E26" s="8">
        <f t="shared" si="0"/>
        <v>1.2832958199356912</v>
      </c>
      <c r="F26" s="8">
        <f t="shared" si="1"/>
        <v>1.2832958199356912</v>
      </c>
      <c r="G26" s="8">
        <f t="shared" si="2"/>
        <v>0.6416479099678456</v>
      </c>
      <c r="H26" s="6">
        <f t="shared" si="5"/>
        <v>50</v>
      </c>
      <c r="I26" s="8">
        <f t="shared" si="6"/>
        <v>0.32678859710709135</v>
      </c>
      <c r="J26" s="9">
        <f t="shared" si="7"/>
        <v>5.5780105404625406E-3</v>
      </c>
      <c r="K26" s="8">
        <f t="shared" si="3"/>
        <v>1.6734031621387622</v>
      </c>
      <c r="L26" s="8" t="str">
        <f>IF(C26&lt;&gt;"-","-","")</f>
        <v>-</v>
      </c>
      <c r="M26" s="5" t="str">
        <f>IF(C26&lt;&gt;"-","-","")</f>
        <v>-</v>
      </c>
      <c r="N26" s="8" t="str">
        <f t="shared" si="4"/>
        <v>-</v>
      </c>
    </row>
    <row r="27" spans="2:14" x14ac:dyDescent="0.25">
      <c r="B27" s="5">
        <v>25</v>
      </c>
      <c r="C27" s="5" t="s">
        <v>21</v>
      </c>
      <c r="D27" s="10">
        <v>0</v>
      </c>
      <c r="E27" s="8" t="str">
        <f t="shared" si="0"/>
        <v>-</v>
      </c>
      <c r="F27" s="8">
        <f t="shared" si="1"/>
        <v>0</v>
      </c>
      <c r="G27" s="8" t="str">
        <f t="shared" si="2"/>
        <v>-</v>
      </c>
      <c r="H27" s="6" t="str">
        <f t="shared" si="5"/>
        <v>-</v>
      </c>
      <c r="I27" s="8" t="str">
        <f t="shared" si="6"/>
        <v>-</v>
      </c>
      <c r="J27" s="9" t="str">
        <f t="shared" si="7"/>
        <v>-</v>
      </c>
      <c r="K27" s="8" t="str">
        <f t="shared" si="3"/>
        <v>-</v>
      </c>
      <c r="L27" s="8">
        <v>365.66940439732258</v>
      </c>
      <c r="M27" s="5">
        <v>314</v>
      </c>
      <c r="N27" s="8">
        <f t="shared" si="4"/>
        <v>51.66940439732258</v>
      </c>
    </row>
    <row r="28" spans="2:14" x14ac:dyDescent="0.25">
      <c r="B28" s="5">
        <v>25.22</v>
      </c>
      <c r="C28" s="5">
        <v>300</v>
      </c>
      <c r="D28" s="10">
        <v>0</v>
      </c>
      <c r="E28" s="8">
        <f t="shared" si="0"/>
        <v>1.2832958199356912</v>
      </c>
      <c r="F28" s="8">
        <f t="shared" si="1"/>
        <v>1.2832958199356912</v>
      </c>
      <c r="G28" s="8">
        <f t="shared" si="2"/>
        <v>0.6416479099678456</v>
      </c>
      <c r="H28" s="6">
        <f t="shared" si="5"/>
        <v>50</v>
      </c>
      <c r="I28" s="8">
        <f t="shared" si="6"/>
        <v>0.32678859710709135</v>
      </c>
      <c r="J28" s="9">
        <f t="shared" si="7"/>
        <v>5.5780105404625406E-3</v>
      </c>
      <c r="K28" s="8">
        <f t="shared" si="3"/>
        <v>1.6734031621387622</v>
      </c>
      <c r="L28" s="8" t="str">
        <f>IF(C28&lt;&gt;"-","-","")</f>
        <v>-</v>
      </c>
      <c r="M28" s="5" t="str">
        <f>IF(C28&lt;&gt;"-","-","")</f>
        <v>-</v>
      </c>
      <c r="N28" s="8" t="str">
        <f t="shared" si="4"/>
        <v>-</v>
      </c>
    </row>
    <row r="29" spans="2:14" x14ac:dyDescent="0.25">
      <c r="B29" s="5">
        <v>23</v>
      </c>
      <c r="C29" s="5" t="s">
        <v>21</v>
      </c>
      <c r="D29" s="10">
        <v>0</v>
      </c>
      <c r="E29" s="8" t="str">
        <f t="shared" si="0"/>
        <v>-</v>
      </c>
      <c r="F29" s="8">
        <f t="shared" si="1"/>
        <v>0</v>
      </c>
      <c r="G29" s="8" t="str">
        <f t="shared" si="2"/>
        <v>-</v>
      </c>
      <c r="H29" s="6" t="str">
        <f t="shared" si="5"/>
        <v>-</v>
      </c>
      <c r="I29" s="8" t="str">
        <f t="shared" si="6"/>
        <v>-</v>
      </c>
      <c r="J29" s="9" t="str">
        <f t="shared" si="7"/>
        <v>-</v>
      </c>
      <c r="K29" s="8" t="str">
        <f t="shared" si="3"/>
        <v>-</v>
      </c>
      <c r="L29" s="8">
        <v>365.66940439732258</v>
      </c>
      <c r="M29" s="5">
        <v>302</v>
      </c>
      <c r="N29" s="8">
        <f t="shared" si="4"/>
        <v>63.66940439732258</v>
      </c>
    </row>
    <row r="30" spans="2:14" x14ac:dyDescent="0.25">
      <c r="B30" s="5">
        <v>23.22</v>
      </c>
      <c r="C30" s="5">
        <v>300</v>
      </c>
      <c r="D30" s="10">
        <v>0</v>
      </c>
      <c r="E30" s="8">
        <f t="shared" si="0"/>
        <v>1.2832958199356912</v>
      </c>
      <c r="F30" s="8">
        <f t="shared" si="1"/>
        <v>1.2832958199356912</v>
      </c>
      <c r="G30" s="8">
        <f t="shared" si="2"/>
        <v>0.6416479099678456</v>
      </c>
      <c r="H30" s="6">
        <f t="shared" si="5"/>
        <v>50</v>
      </c>
      <c r="I30" s="8">
        <f t="shared" si="6"/>
        <v>0.32678859710709135</v>
      </c>
      <c r="J30" s="9">
        <f t="shared" si="7"/>
        <v>5.5780105404625406E-3</v>
      </c>
      <c r="K30" s="8">
        <f t="shared" si="3"/>
        <v>1.6734031621387622</v>
      </c>
      <c r="L30" s="8" t="str">
        <f>IF(C30&lt;&gt;"-","-","")</f>
        <v>-</v>
      </c>
      <c r="M30" s="5" t="str">
        <f>IF(C30&lt;&gt;"-","-","")</f>
        <v>-</v>
      </c>
      <c r="N30" s="8" t="str">
        <f t="shared" si="4"/>
        <v>-</v>
      </c>
    </row>
    <row r="31" spans="2:14" x14ac:dyDescent="0.25">
      <c r="B31" s="5">
        <v>22</v>
      </c>
      <c r="C31" s="5" t="s">
        <v>21</v>
      </c>
      <c r="D31" s="10">
        <v>3.8498874598070736</v>
      </c>
      <c r="E31" s="8" t="str">
        <f t="shared" si="0"/>
        <v>-</v>
      </c>
      <c r="F31" s="8">
        <f t="shared" si="1"/>
        <v>3.8498874598070736</v>
      </c>
      <c r="G31" s="8" t="str">
        <f t="shared" si="2"/>
        <v>-</v>
      </c>
      <c r="H31" s="6" t="str">
        <f t="shared" si="5"/>
        <v>-</v>
      </c>
      <c r="I31" s="8" t="str">
        <f t="shared" si="6"/>
        <v>-</v>
      </c>
      <c r="J31" s="9" t="str">
        <f t="shared" si="7"/>
        <v>-</v>
      </c>
      <c r="K31" s="8" t="str">
        <f t="shared" si="3"/>
        <v>-</v>
      </c>
      <c r="L31" s="8">
        <v>367.34280755946133</v>
      </c>
      <c r="M31" s="5">
        <v>316</v>
      </c>
      <c r="N31" s="8">
        <f t="shared" si="4"/>
        <v>51.342807559461335</v>
      </c>
    </row>
    <row r="32" spans="2:14" x14ac:dyDescent="0.25">
      <c r="B32" s="5">
        <v>22.19</v>
      </c>
      <c r="C32" s="5">
        <v>300</v>
      </c>
      <c r="D32" s="10">
        <v>3.8498874598070736</v>
      </c>
      <c r="E32" s="8">
        <f t="shared" si="0"/>
        <v>1.2832958199356912</v>
      </c>
      <c r="F32" s="8">
        <f t="shared" si="1"/>
        <v>5.1331832797427648</v>
      </c>
      <c r="G32" s="8">
        <f t="shared" si="2"/>
        <v>4.491535369774919</v>
      </c>
      <c r="H32" s="6">
        <f t="shared" si="5"/>
        <v>100</v>
      </c>
      <c r="I32" s="8">
        <f t="shared" si="6"/>
        <v>0.57188004493740974</v>
      </c>
      <c r="J32" s="9">
        <f t="shared" si="7"/>
        <v>7.0078503944064566E-3</v>
      </c>
      <c r="K32" s="8">
        <f t="shared" si="3"/>
        <v>2.1023551183219369</v>
      </c>
      <c r="L32" s="8" t="str">
        <f>IF(C32&lt;&gt;"-","-","")</f>
        <v>-</v>
      </c>
      <c r="M32" s="5" t="str">
        <f>IF(C32&lt;&gt;"-","-","")</f>
        <v>-</v>
      </c>
      <c r="N32" s="8" t="str">
        <f t="shared" si="4"/>
        <v>-</v>
      </c>
    </row>
    <row r="33" spans="2:14" x14ac:dyDescent="0.25">
      <c r="B33" s="5">
        <v>19</v>
      </c>
      <c r="C33" s="5" t="s">
        <v>21</v>
      </c>
      <c r="D33" s="10">
        <v>33.260723472668808</v>
      </c>
      <c r="E33" s="8" t="str">
        <f t="shared" si="0"/>
        <v>-</v>
      </c>
      <c r="F33" s="8">
        <f t="shared" si="1"/>
        <v>33.260723472668808</v>
      </c>
      <c r="G33" s="8" t="str">
        <f t="shared" si="2"/>
        <v>-</v>
      </c>
      <c r="H33" s="6" t="str">
        <f t="shared" si="5"/>
        <v>-</v>
      </c>
      <c r="I33" s="8" t="str">
        <f t="shared" si="6"/>
        <v>-</v>
      </c>
      <c r="J33" s="9" t="str">
        <f t="shared" si="7"/>
        <v>-</v>
      </c>
      <c r="K33" s="8" t="str">
        <f t="shared" si="3"/>
        <v>-</v>
      </c>
      <c r="L33" s="8">
        <v>369.44516267778329</v>
      </c>
      <c r="M33" s="5">
        <v>318</v>
      </c>
      <c r="N33" s="8">
        <f t="shared" si="4"/>
        <v>51.445162677783287</v>
      </c>
    </row>
    <row r="34" spans="2:14" x14ac:dyDescent="0.25">
      <c r="B34" s="5">
        <v>19.170000000000002</v>
      </c>
      <c r="C34" s="5">
        <v>300</v>
      </c>
      <c r="D34" s="10">
        <v>33.260723472668808</v>
      </c>
      <c r="E34" s="8">
        <f t="shared" si="0"/>
        <v>1.2832958199356912</v>
      </c>
      <c r="F34" s="8">
        <f t="shared" si="1"/>
        <v>34.544019292604496</v>
      </c>
      <c r="G34" s="8">
        <f t="shared" si="2"/>
        <v>33.902371382636652</v>
      </c>
      <c r="H34" s="6">
        <f t="shared" si="5"/>
        <v>250</v>
      </c>
      <c r="I34" s="8">
        <f t="shared" si="6"/>
        <v>0.69065343847473126</v>
      </c>
      <c r="J34" s="9">
        <f t="shared" si="7"/>
        <v>3.4148204078160468E-3</v>
      </c>
      <c r="K34" s="8">
        <f t="shared" si="3"/>
        <v>1.024446122344814</v>
      </c>
      <c r="L34" s="8" t="str">
        <f>IF(C34&lt;&gt;"-","-","")</f>
        <v>-</v>
      </c>
      <c r="M34" s="5" t="str">
        <f>IF(C34&lt;&gt;"-","-","")</f>
        <v>-</v>
      </c>
      <c r="N34" s="8" t="str">
        <f t="shared" si="4"/>
        <v>-</v>
      </c>
    </row>
    <row r="35" spans="2:14" x14ac:dyDescent="0.25">
      <c r="B35" s="5">
        <v>18</v>
      </c>
      <c r="C35" s="5" t="s">
        <v>21</v>
      </c>
      <c r="D35" s="10">
        <v>0</v>
      </c>
      <c r="E35" s="8" t="str">
        <f t="shared" si="0"/>
        <v>-</v>
      </c>
      <c r="F35" s="8">
        <f t="shared" si="1"/>
        <v>0</v>
      </c>
      <c r="G35" s="8" t="str">
        <f t="shared" si="2"/>
        <v>-</v>
      </c>
      <c r="H35" s="6" t="str">
        <f t="shared" si="5"/>
        <v>-</v>
      </c>
      <c r="I35" s="8" t="str">
        <f t="shared" si="6"/>
        <v>-</v>
      </c>
      <c r="J35" s="9" t="str">
        <f t="shared" si="7"/>
        <v>-</v>
      </c>
      <c r="K35" s="8" t="str">
        <f t="shared" si="3"/>
        <v>-</v>
      </c>
      <c r="L35" s="8">
        <v>369.94312099709106</v>
      </c>
      <c r="M35" s="5">
        <v>312</v>
      </c>
      <c r="N35" s="8">
        <f t="shared" si="4"/>
        <v>57.943120997091057</v>
      </c>
    </row>
    <row r="36" spans="2:14" x14ac:dyDescent="0.25">
      <c r="B36" s="5">
        <v>18.170000000000002</v>
      </c>
      <c r="C36" s="5">
        <v>200</v>
      </c>
      <c r="D36" s="10">
        <v>0</v>
      </c>
      <c r="E36" s="8">
        <f t="shared" si="0"/>
        <v>0.85553054662379413</v>
      </c>
      <c r="F36" s="8">
        <f t="shared" si="1"/>
        <v>0.85553054662379413</v>
      </c>
      <c r="G36" s="8">
        <f t="shared" si="2"/>
        <v>0.42776527331189707</v>
      </c>
      <c r="H36" s="6">
        <f t="shared" si="5"/>
        <v>50</v>
      </c>
      <c r="I36" s="8">
        <f t="shared" si="6"/>
        <v>0.21785906473806091</v>
      </c>
      <c r="J36" s="9">
        <f t="shared" si="7"/>
        <v>2.6324390151854452E-3</v>
      </c>
      <c r="K36" s="8">
        <f t="shared" si="3"/>
        <v>0.52648780303708909</v>
      </c>
      <c r="L36" s="8" t="str">
        <f>IF(C36&lt;&gt;"-","-","")</f>
        <v>-</v>
      </c>
      <c r="M36" s="5" t="str">
        <f>IF(C36&lt;&gt;"-","-","")</f>
        <v>-</v>
      </c>
      <c r="N36" s="8" t="str">
        <f t="shared" si="4"/>
        <v>-</v>
      </c>
    </row>
    <row r="37" spans="2:14" x14ac:dyDescent="0.25">
      <c r="B37" s="5">
        <v>17</v>
      </c>
      <c r="C37" s="5" t="s">
        <v>21</v>
      </c>
      <c r="D37" s="10">
        <v>35.399549839228293</v>
      </c>
      <c r="E37" s="8" t="str">
        <f t="shared" si="0"/>
        <v>-</v>
      </c>
      <c r="F37" s="8">
        <f t="shared" si="1"/>
        <v>35.399549839228293</v>
      </c>
      <c r="G37" s="8" t="str">
        <f t="shared" si="2"/>
        <v>-</v>
      </c>
      <c r="H37" s="6" t="str">
        <f t="shared" si="5"/>
        <v>-</v>
      </c>
      <c r="I37" s="8" t="str">
        <f t="shared" si="6"/>
        <v>-</v>
      </c>
      <c r="J37" s="9" t="str">
        <f t="shared" si="7"/>
        <v>-</v>
      </c>
      <c r="K37" s="8" t="str">
        <f t="shared" si="3"/>
        <v>-</v>
      </c>
      <c r="L37" s="8">
        <v>370.46960880012813</v>
      </c>
      <c r="M37" s="5">
        <v>313</v>
      </c>
      <c r="N37" s="8">
        <f t="shared" si="4"/>
        <v>57.469608800128128</v>
      </c>
    </row>
    <row r="38" spans="2:14" x14ac:dyDescent="0.25">
      <c r="B38" s="5">
        <v>17.149999999999999</v>
      </c>
      <c r="C38" s="5">
        <v>300</v>
      </c>
      <c r="D38" s="10">
        <v>35.399549839228293</v>
      </c>
      <c r="E38" s="8">
        <f>IF(C38="-","-",$C$6*C38)</f>
        <v>1.2832958199356912</v>
      </c>
      <c r="F38" s="8">
        <f t="shared" si="1"/>
        <v>36.682845659163981</v>
      </c>
      <c r="G38" s="8">
        <f t="shared" si="2"/>
        <v>36.041197749196137</v>
      </c>
      <c r="H38" s="6">
        <f t="shared" si="5"/>
        <v>250</v>
      </c>
      <c r="I38" s="8">
        <f t="shared" si="6"/>
        <v>0.73422525142234341</v>
      </c>
      <c r="J38" s="9">
        <f t="shared" si="7"/>
        <v>3.8244933700545543E-3</v>
      </c>
      <c r="K38" s="8">
        <f t="shared" si="3"/>
        <v>1.1473480110163663</v>
      </c>
      <c r="L38" s="8" t="str">
        <f>IF(C38&lt;&gt;"-","-","")</f>
        <v>-</v>
      </c>
      <c r="M38" s="5" t="str">
        <f>IF(C38&lt;&gt;"-","-","")</f>
        <v>-</v>
      </c>
      <c r="N38" s="8" t="str">
        <f t="shared" si="4"/>
        <v>-</v>
      </c>
    </row>
    <row r="39" spans="2:14" x14ac:dyDescent="0.25">
      <c r="B39" s="5">
        <v>16</v>
      </c>
      <c r="C39" s="5" t="s">
        <v>21</v>
      </c>
      <c r="D39" s="10">
        <v>0</v>
      </c>
      <c r="E39" s="8" t="str">
        <f>IF(C39="-","-",$C$6*C39)</f>
        <v>-</v>
      </c>
      <c r="F39" s="8">
        <f>IF(E39="-",D39,D39+E39)</f>
        <v>0</v>
      </c>
      <c r="G39" s="8" t="str">
        <f>IF(E39="-","-",D39+E39/2)</f>
        <v>-</v>
      </c>
      <c r="H39" s="6" t="str">
        <f>IF(G39="-","-",calcd(G39))</f>
        <v>-</v>
      </c>
      <c r="I39" s="8" t="str">
        <f>IF(G39="-","-",(G39*10^(-3))/(PI()*(H39*10^(-3))^2/4))</f>
        <v>-</v>
      </c>
      <c r="J39" s="9" t="str">
        <f>IF(G39="-","-",K39/C39)</f>
        <v>-</v>
      </c>
      <c r="K39" s="8" t="str">
        <f>IF(G39="-","-",calch(C39,$C$4,G39,H39))</f>
        <v>-</v>
      </c>
      <c r="L39" s="8">
        <v>369.01959273631434</v>
      </c>
      <c r="M39" s="5">
        <v>316</v>
      </c>
      <c r="N39" s="8">
        <f t="shared" si="4"/>
        <v>53.019592736314337</v>
      </c>
    </row>
    <row r="40" spans="2:14" x14ac:dyDescent="0.25">
      <c r="B40" s="5">
        <v>16.149999999999999</v>
      </c>
      <c r="C40" s="5">
        <v>350</v>
      </c>
      <c r="D40" s="10">
        <v>0</v>
      </c>
      <c r="E40" s="8">
        <f>IF(C40="-","-",$C$6*C40)</f>
        <v>1.4971784565916397</v>
      </c>
      <c r="F40" s="8">
        <f t="shared" si="1"/>
        <v>1.4971784565916397</v>
      </c>
      <c r="G40" s="8">
        <f t="shared" si="2"/>
        <v>0.74858922829581986</v>
      </c>
      <c r="H40" s="6">
        <f t="shared" si="5"/>
        <v>50</v>
      </c>
      <c r="I40" s="8">
        <f t="shared" si="6"/>
        <v>0.38125336329160658</v>
      </c>
      <c r="J40" s="9">
        <f t="shared" si="7"/>
        <v>7.4210402138005331E-3</v>
      </c>
      <c r="K40" s="8">
        <f t="shared" si="3"/>
        <v>2.5973640748301867</v>
      </c>
      <c r="L40" s="8" t="str">
        <f>IF(C40&lt;&gt;"-","-","")</f>
        <v>-</v>
      </c>
      <c r="M40" s="5" t="str">
        <f>IF(C40&lt;&gt;"-","-","")</f>
        <v>-</v>
      </c>
      <c r="N40" s="8" t="str">
        <f t="shared" si="4"/>
        <v>-</v>
      </c>
    </row>
    <row r="41" spans="2:14" x14ac:dyDescent="0.25">
      <c r="B41" s="5">
        <v>15</v>
      </c>
      <c r="C41" s="5" t="s">
        <v>21</v>
      </c>
      <c r="D41" s="10">
        <v>38.180024115755621</v>
      </c>
      <c r="E41" s="8" t="str">
        <f t="shared" si="0"/>
        <v>-</v>
      </c>
      <c r="F41" s="8">
        <f t="shared" si="1"/>
        <v>38.180024115755621</v>
      </c>
      <c r="G41" s="8" t="str">
        <f t="shared" si="2"/>
        <v>-</v>
      </c>
      <c r="H41" s="6" t="str">
        <f t="shared" si="5"/>
        <v>-</v>
      </c>
      <c r="I41" s="8" t="str">
        <f t="shared" si="6"/>
        <v>-</v>
      </c>
      <c r="J41" s="9" t="str">
        <f t="shared" si="7"/>
        <v>-</v>
      </c>
      <c r="K41" s="8" t="str">
        <f t="shared" si="3"/>
        <v>-</v>
      </c>
      <c r="L41" s="8">
        <v>371.61695681114452</v>
      </c>
      <c r="M41" s="5">
        <v>316</v>
      </c>
      <c r="N41" s="8">
        <f t="shared" si="4"/>
        <v>55.616956811144519</v>
      </c>
    </row>
    <row r="42" spans="2:14" x14ac:dyDescent="0.25">
      <c r="B42" s="5">
        <v>15.12</v>
      </c>
      <c r="C42" s="5">
        <v>600</v>
      </c>
      <c r="D42" s="10">
        <v>38.180024115755621</v>
      </c>
      <c r="E42" s="8">
        <f t="shared" si="0"/>
        <v>2.5665916398713824</v>
      </c>
      <c r="F42" s="8">
        <f t="shared" si="1"/>
        <v>40.746615755627005</v>
      </c>
      <c r="G42" s="8">
        <f t="shared" si="2"/>
        <v>39.46331993569131</v>
      </c>
      <c r="H42" s="6">
        <f t="shared" si="5"/>
        <v>250</v>
      </c>
      <c r="I42" s="8">
        <f t="shared" si="6"/>
        <v>0.80394015213852288</v>
      </c>
      <c r="J42" s="9">
        <f t="shared" si="7"/>
        <v>4.5241015717495236E-3</v>
      </c>
      <c r="K42" s="8">
        <f t="shared" si="3"/>
        <v>2.7144609430497142</v>
      </c>
      <c r="L42" s="8" t="str">
        <f>IF(C42&lt;&gt;"-","-","")</f>
        <v>-</v>
      </c>
      <c r="M42" s="5" t="str">
        <f>IF(C42&lt;&gt;"-","-","")</f>
        <v>-</v>
      </c>
      <c r="N42" s="8" t="str">
        <f t="shared" si="4"/>
        <v>-</v>
      </c>
    </row>
    <row r="43" spans="2:14" x14ac:dyDescent="0.25">
      <c r="B43" s="5">
        <v>13</v>
      </c>
      <c r="C43" s="5" t="s">
        <v>21</v>
      </c>
      <c r="D43" s="10">
        <v>10</v>
      </c>
      <c r="E43" s="8" t="str">
        <f t="shared" si="0"/>
        <v>-</v>
      </c>
      <c r="F43" s="8">
        <f t="shared" si="1"/>
        <v>10</v>
      </c>
      <c r="G43" s="8" t="str">
        <f t="shared" si="2"/>
        <v>-</v>
      </c>
      <c r="H43" s="6" t="str">
        <f t="shared" si="5"/>
        <v>-</v>
      </c>
      <c r="I43" s="8" t="str">
        <f t="shared" si="6"/>
        <v>-</v>
      </c>
      <c r="J43" s="9" t="str">
        <f t="shared" si="7"/>
        <v>-</v>
      </c>
      <c r="K43" s="8" t="str">
        <f t="shared" si="3"/>
        <v>-</v>
      </c>
      <c r="L43" s="8">
        <v>372.88954515983136</v>
      </c>
      <c r="M43" s="5">
        <v>315</v>
      </c>
      <c r="N43" s="8">
        <f t="shared" si="4"/>
        <v>57.889545159831357</v>
      </c>
    </row>
    <row r="44" spans="2:14" x14ac:dyDescent="0.25">
      <c r="B44" s="5">
        <v>13.12</v>
      </c>
      <c r="C44" s="5">
        <v>300</v>
      </c>
      <c r="D44" s="10">
        <v>10</v>
      </c>
      <c r="E44" s="8">
        <f t="shared" si="0"/>
        <v>1.2832958199356912</v>
      </c>
      <c r="F44" s="8">
        <f t="shared" si="1"/>
        <v>11.283295819935692</v>
      </c>
      <c r="G44" s="8">
        <f t="shared" si="2"/>
        <v>10.641647909967846</v>
      </c>
      <c r="H44" s="6">
        <f t="shared" si="5"/>
        <v>150</v>
      </c>
      <c r="I44" s="8">
        <f t="shared" si="6"/>
        <v>0.6021940862275269</v>
      </c>
      <c r="J44" s="9">
        <f t="shared" si="7"/>
        <v>4.8062419812095643E-3</v>
      </c>
      <c r="K44" s="8">
        <f t="shared" si="3"/>
        <v>1.4418725943628692</v>
      </c>
      <c r="L44" s="8" t="str">
        <f>IF(C44&lt;&gt;"-","-","")</f>
        <v>-</v>
      </c>
      <c r="M44" s="5" t="str">
        <f>IF(C44&lt;&gt;"-","-","")</f>
        <v>-</v>
      </c>
      <c r="N44" s="8" t="str">
        <f t="shared" si="4"/>
        <v>-</v>
      </c>
    </row>
    <row r="45" spans="2:14" x14ac:dyDescent="0.25">
      <c r="B45" s="5">
        <v>14</v>
      </c>
      <c r="C45" s="5" t="s">
        <v>21</v>
      </c>
      <c r="D45" s="10">
        <v>10</v>
      </c>
      <c r="E45" s="8" t="str">
        <f t="shared" si="0"/>
        <v>-</v>
      </c>
      <c r="F45" s="8">
        <f t="shared" si="1"/>
        <v>10</v>
      </c>
      <c r="G45" s="8" t="str">
        <f t="shared" si="2"/>
        <v>-</v>
      </c>
      <c r="H45" s="6" t="str">
        <f t="shared" si="5"/>
        <v>-</v>
      </c>
      <c r="I45" s="8" t="str">
        <f t="shared" si="6"/>
        <v>-</v>
      </c>
      <c r="J45" s="9" t="str">
        <f t="shared" si="7"/>
        <v>-</v>
      </c>
      <c r="K45" s="8" t="str">
        <f t="shared" si="3"/>
        <v>-</v>
      </c>
      <c r="L45" s="8">
        <v>372.88954515983136</v>
      </c>
      <c r="M45" s="5">
        <v>315</v>
      </c>
      <c r="N45" s="8">
        <f t="shared" si="4"/>
        <v>57.889545159831357</v>
      </c>
    </row>
    <row r="46" spans="2:14" x14ac:dyDescent="0.25">
      <c r="B46" s="5">
        <v>14.12</v>
      </c>
      <c r="C46" s="5">
        <v>300</v>
      </c>
      <c r="D46" s="10">
        <v>10</v>
      </c>
      <c r="E46" s="8">
        <f t="shared" si="0"/>
        <v>1.2832958199356912</v>
      </c>
      <c r="F46" s="8">
        <f t="shared" si="1"/>
        <v>11.283295819935692</v>
      </c>
      <c r="G46" s="8">
        <f t="shared" si="2"/>
        <v>10.641647909967846</v>
      </c>
      <c r="H46" s="6">
        <f t="shared" si="5"/>
        <v>150</v>
      </c>
      <c r="I46" s="8">
        <f t="shared" si="6"/>
        <v>0.6021940862275269</v>
      </c>
      <c r="J46" s="9">
        <f t="shared" si="7"/>
        <v>4.8062419812095643E-3</v>
      </c>
      <c r="K46" s="8">
        <f t="shared" si="3"/>
        <v>1.4418725943628692</v>
      </c>
      <c r="L46" s="8" t="str">
        <f>IF(C46&lt;&gt;"-","-","")</f>
        <v>-</v>
      </c>
      <c r="M46" s="5" t="str">
        <f>IF(C46&lt;&gt;"-","-","")</f>
        <v>-</v>
      </c>
      <c r="N46" s="8" t="str">
        <f t="shared" si="4"/>
        <v>-</v>
      </c>
    </row>
    <row r="47" spans="2:14" x14ac:dyDescent="0.25">
      <c r="B47" s="5">
        <v>12</v>
      </c>
      <c r="C47" s="5" t="s">
        <v>21</v>
      </c>
      <c r="D47" s="10">
        <v>63.313207395498381</v>
      </c>
      <c r="E47" s="8" t="str">
        <f t="shared" si="0"/>
        <v>-</v>
      </c>
      <c r="F47" s="8">
        <f t="shared" si="1"/>
        <v>63.313207395498381</v>
      </c>
      <c r="G47" s="8" t="str">
        <f t="shared" si="2"/>
        <v>-</v>
      </c>
      <c r="H47" s="6" t="str">
        <f t="shared" si="5"/>
        <v>-</v>
      </c>
      <c r="I47" s="8" t="str">
        <f t="shared" si="6"/>
        <v>-</v>
      </c>
      <c r="J47" s="9" t="str">
        <f t="shared" si="7"/>
        <v>-</v>
      </c>
      <c r="K47" s="8" t="str">
        <f t="shared" si="3"/>
        <v>-</v>
      </c>
      <c r="L47" s="8">
        <v>374.33141775419421</v>
      </c>
      <c r="M47" s="5">
        <v>312</v>
      </c>
      <c r="N47" s="8">
        <f t="shared" si="4"/>
        <v>62.331417754194206</v>
      </c>
    </row>
    <row r="48" spans="2:14" x14ac:dyDescent="0.25">
      <c r="B48" s="5">
        <v>12.2</v>
      </c>
      <c r="C48" s="5">
        <v>1200</v>
      </c>
      <c r="D48" s="10">
        <v>63.313207395498381</v>
      </c>
      <c r="E48" s="8">
        <f t="shared" si="0"/>
        <v>5.1331832797427648</v>
      </c>
      <c r="F48" s="8">
        <f t="shared" si="1"/>
        <v>68.446390675241148</v>
      </c>
      <c r="G48" s="8">
        <f t="shared" si="2"/>
        <v>65.879799035369757</v>
      </c>
      <c r="H48" s="6">
        <f t="shared" si="5"/>
        <v>300</v>
      </c>
      <c r="I48" s="8">
        <f t="shared" si="6"/>
        <v>0.93200850367820209</v>
      </c>
      <c r="J48" s="9">
        <f t="shared" si="7"/>
        <v>4.8094818856914455E-3</v>
      </c>
      <c r="K48" s="8">
        <f t="shared" si="3"/>
        <v>5.7713782628297343</v>
      </c>
      <c r="L48" s="8" t="str">
        <f>IF(C48&lt;&gt;"-","-","")</f>
        <v>-</v>
      </c>
      <c r="M48" s="5" t="str">
        <f>IF(C48&lt;&gt;"-","-","")</f>
        <v>-</v>
      </c>
      <c r="N48" s="8" t="str">
        <f t="shared" si="4"/>
        <v>-</v>
      </c>
    </row>
    <row r="49" spans="2:14" x14ac:dyDescent="0.25">
      <c r="B49" s="5">
        <v>11</v>
      </c>
      <c r="C49" s="5" t="s">
        <v>21</v>
      </c>
      <c r="D49" s="10">
        <v>0</v>
      </c>
      <c r="E49" s="8" t="str">
        <f t="shared" si="0"/>
        <v>-</v>
      </c>
      <c r="F49" s="8">
        <f t="shared" si="1"/>
        <v>0</v>
      </c>
      <c r="G49" s="8" t="str">
        <f t="shared" si="2"/>
        <v>-</v>
      </c>
      <c r="H49" s="6" t="str">
        <f t="shared" si="5"/>
        <v>-</v>
      </c>
      <c r="I49" s="8" t="str">
        <f t="shared" si="6"/>
        <v>-</v>
      </c>
      <c r="J49" s="9" t="str">
        <f t="shared" si="7"/>
        <v>-</v>
      </c>
      <c r="K49" s="8" t="str">
        <f t="shared" si="3"/>
        <v>-</v>
      </c>
      <c r="L49" s="8">
        <v>378.42939285488518</v>
      </c>
      <c r="M49" s="5">
        <v>316</v>
      </c>
      <c r="N49" s="8">
        <f t="shared" si="4"/>
        <v>62.42939285488518</v>
      </c>
    </row>
    <row r="50" spans="2:14" x14ac:dyDescent="0.25">
      <c r="B50" s="5">
        <v>11.2</v>
      </c>
      <c r="C50" s="5">
        <v>300</v>
      </c>
      <c r="D50" s="10">
        <v>0</v>
      </c>
      <c r="E50" s="8">
        <f t="shared" si="0"/>
        <v>1.2832958199356912</v>
      </c>
      <c r="F50" s="8">
        <f t="shared" si="1"/>
        <v>1.2832958199356912</v>
      </c>
      <c r="G50" s="8">
        <f t="shared" si="2"/>
        <v>0.6416479099678456</v>
      </c>
      <c r="H50" s="6">
        <f t="shared" si="5"/>
        <v>50</v>
      </c>
      <c r="I50" s="8">
        <f t="shared" si="6"/>
        <v>0.32678859710709135</v>
      </c>
      <c r="J50" s="9">
        <f t="shared" si="7"/>
        <v>5.5780105404625406E-3</v>
      </c>
      <c r="K50" s="8">
        <f t="shared" si="3"/>
        <v>1.6734031621387622</v>
      </c>
      <c r="L50" s="8" t="str">
        <f>IF(C50&lt;&gt;"-","-","")</f>
        <v>-</v>
      </c>
      <c r="M50" s="5" t="str">
        <f>IF(C50&lt;&gt;"-","-","")</f>
        <v>-</v>
      </c>
      <c r="N50" s="8" t="str">
        <f t="shared" si="4"/>
        <v>-</v>
      </c>
    </row>
    <row r="51" spans="2:14" x14ac:dyDescent="0.25">
      <c r="B51" s="5">
        <v>10</v>
      </c>
      <c r="C51" s="5" t="s">
        <v>21</v>
      </c>
      <c r="D51" s="10">
        <v>0</v>
      </c>
      <c r="E51" s="8" t="str">
        <f t="shared" si="0"/>
        <v>-</v>
      </c>
      <c r="F51" s="8">
        <f t="shared" si="1"/>
        <v>0</v>
      </c>
      <c r="G51" s="8" t="str">
        <f t="shared" si="2"/>
        <v>-</v>
      </c>
      <c r="H51" s="6" t="str">
        <f t="shared" si="5"/>
        <v>-</v>
      </c>
      <c r="I51" s="8" t="str">
        <f t="shared" si="6"/>
        <v>-</v>
      </c>
      <c r="J51" s="9" t="str">
        <f t="shared" si="7"/>
        <v>-</v>
      </c>
      <c r="K51" s="8" t="str">
        <f t="shared" si="3"/>
        <v>-</v>
      </c>
      <c r="L51" s="8">
        <v>376.30155101509536</v>
      </c>
      <c r="M51" s="5">
        <v>315</v>
      </c>
      <c r="N51" s="8">
        <f t="shared" si="4"/>
        <v>61.301551015095356</v>
      </c>
    </row>
    <row r="52" spans="2:14" x14ac:dyDescent="0.25">
      <c r="B52" s="5">
        <v>10.199999999999999</v>
      </c>
      <c r="C52" s="5">
        <v>400</v>
      </c>
      <c r="D52" s="10">
        <v>0</v>
      </c>
      <c r="E52" s="8">
        <f t="shared" si="0"/>
        <v>1.7110610932475883</v>
      </c>
      <c r="F52" s="8">
        <f t="shared" si="1"/>
        <v>1.7110610932475883</v>
      </c>
      <c r="G52" s="8">
        <f t="shared" si="2"/>
        <v>0.85553054662379413</v>
      </c>
      <c r="H52" s="6">
        <f t="shared" si="5"/>
        <v>50</v>
      </c>
      <c r="I52" s="8">
        <f t="shared" si="6"/>
        <v>0.43571812947612182</v>
      </c>
      <c r="J52" s="9">
        <f t="shared" si="7"/>
        <v>9.5031125048213889E-3</v>
      </c>
      <c r="K52" s="8">
        <f t="shared" si="3"/>
        <v>3.8012450019285553</v>
      </c>
      <c r="L52" s="8" t="str">
        <f>IF(C52&lt;&gt;"-","-","")</f>
        <v>-</v>
      </c>
      <c r="M52" s="5" t="str">
        <f>IF(C52&lt;&gt;"-","-","")</f>
        <v>-</v>
      </c>
      <c r="N52" s="8" t="str">
        <f t="shared" si="4"/>
        <v>-</v>
      </c>
    </row>
    <row r="53" spans="2:14" x14ac:dyDescent="0.25">
      <c r="B53" s="5">
        <v>9</v>
      </c>
      <c r="C53" s="5" t="s">
        <v>21</v>
      </c>
      <c r="D53" s="10">
        <v>0</v>
      </c>
      <c r="E53" s="8" t="str">
        <f t="shared" si="0"/>
        <v>-</v>
      </c>
      <c r="F53" s="8">
        <f t="shared" si="1"/>
        <v>0</v>
      </c>
      <c r="G53" s="8" t="str">
        <f t="shared" si="2"/>
        <v>-</v>
      </c>
      <c r="H53" s="6" t="str">
        <f t="shared" si="5"/>
        <v>-</v>
      </c>
      <c r="I53" s="8" t="str">
        <f t="shared" si="6"/>
        <v>-</v>
      </c>
      <c r="J53" s="9" t="str">
        <f t="shared" si="7"/>
        <v>-</v>
      </c>
      <c r="K53" s="8" t="str">
        <f t="shared" si="3"/>
        <v>-</v>
      </c>
      <c r="L53" s="8">
        <v>378.42939285488518</v>
      </c>
      <c r="M53" s="5">
        <v>304</v>
      </c>
      <c r="N53" s="8">
        <f t="shared" si="4"/>
        <v>74.42939285488518</v>
      </c>
    </row>
    <row r="54" spans="2:14" x14ac:dyDescent="0.25">
      <c r="B54" s="5">
        <v>9.1999999999999993</v>
      </c>
      <c r="C54" s="5">
        <v>300</v>
      </c>
      <c r="D54" s="10">
        <v>0</v>
      </c>
      <c r="E54" s="8">
        <f t="shared" si="0"/>
        <v>1.2832958199356912</v>
      </c>
      <c r="F54" s="8">
        <f t="shared" si="1"/>
        <v>1.2832958199356912</v>
      </c>
      <c r="G54" s="8">
        <f t="shared" si="2"/>
        <v>0.6416479099678456</v>
      </c>
      <c r="H54" s="6">
        <f t="shared" si="5"/>
        <v>50</v>
      </c>
      <c r="I54" s="8">
        <f t="shared" si="6"/>
        <v>0.32678859710709135</v>
      </c>
      <c r="J54" s="9">
        <f t="shared" si="7"/>
        <v>5.5780105404625406E-3</v>
      </c>
      <c r="K54" s="8">
        <f t="shared" si="3"/>
        <v>1.6734031621387622</v>
      </c>
      <c r="L54" s="8" t="str">
        <f>IF(C54&lt;&gt;"-","-","")</f>
        <v>-</v>
      </c>
      <c r="M54" s="5" t="str">
        <f>IF(C54&lt;&gt;"-","-","")</f>
        <v>-</v>
      </c>
      <c r="N54" s="8" t="str">
        <f t="shared" si="4"/>
        <v>-</v>
      </c>
    </row>
    <row r="55" spans="2:14" x14ac:dyDescent="0.25">
      <c r="B55" s="5">
        <v>7</v>
      </c>
      <c r="C55" s="5" t="s">
        <v>21</v>
      </c>
      <c r="D55" s="10">
        <v>0</v>
      </c>
      <c r="E55" s="8" t="str">
        <f t="shared" si="0"/>
        <v>-</v>
      </c>
      <c r="F55" s="8">
        <f t="shared" si="1"/>
        <v>0</v>
      </c>
      <c r="G55" s="8" t="str">
        <f t="shared" si="2"/>
        <v>-</v>
      </c>
      <c r="H55" s="6" t="str">
        <f t="shared" si="5"/>
        <v>-</v>
      </c>
      <c r="I55" s="8" t="str">
        <f t="shared" si="6"/>
        <v>-</v>
      </c>
      <c r="J55" s="9" t="str">
        <f t="shared" si="7"/>
        <v>-</v>
      </c>
      <c r="K55" s="8" t="str">
        <f t="shared" si="3"/>
        <v>-</v>
      </c>
      <c r="L55" s="8">
        <v>375.76941111326238</v>
      </c>
      <c r="M55" s="5">
        <v>306</v>
      </c>
      <c r="N55" s="8">
        <f t="shared" si="4"/>
        <v>69.769411113262379</v>
      </c>
    </row>
    <row r="56" spans="2:14" x14ac:dyDescent="0.25">
      <c r="B56" s="5">
        <v>7.5</v>
      </c>
      <c r="C56" s="5">
        <v>300</v>
      </c>
      <c r="D56" s="10">
        <v>0</v>
      </c>
      <c r="E56" s="8">
        <f t="shared" si="0"/>
        <v>1.2832958199356912</v>
      </c>
      <c r="F56" s="8">
        <f t="shared" si="1"/>
        <v>1.2832958199356912</v>
      </c>
      <c r="G56" s="8">
        <f t="shared" si="2"/>
        <v>0.6416479099678456</v>
      </c>
      <c r="H56" s="6">
        <f t="shared" si="5"/>
        <v>50</v>
      </c>
      <c r="I56" s="8">
        <f t="shared" si="6"/>
        <v>0.32678859710709135</v>
      </c>
      <c r="J56" s="9">
        <f t="shared" si="7"/>
        <v>5.5780105404625406E-3</v>
      </c>
      <c r="K56" s="8">
        <f t="shared" si="3"/>
        <v>1.6734031621387622</v>
      </c>
      <c r="L56" s="8" t="str">
        <f>IF(C56&lt;&gt;"-","-","")</f>
        <v>-</v>
      </c>
      <c r="M56" s="5" t="str">
        <f>IF(C56&lt;&gt;"-","-","")</f>
        <v>-</v>
      </c>
      <c r="N56" s="8" t="str">
        <f t="shared" si="4"/>
        <v>-</v>
      </c>
    </row>
    <row r="57" spans="2:14" x14ac:dyDescent="0.25">
      <c r="B57" s="5">
        <v>6</v>
      </c>
      <c r="C57" s="5" t="s">
        <v>21</v>
      </c>
      <c r="D57" s="10">
        <v>0</v>
      </c>
      <c r="E57" s="8" t="str">
        <f t="shared" si="0"/>
        <v>-</v>
      </c>
      <c r="F57" s="8">
        <f t="shared" si="1"/>
        <v>0</v>
      </c>
      <c r="G57" s="8" t="str">
        <f t="shared" si="2"/>
        <v>-</v>
      </c>
      <c r="H57" s="6" t="str">
        <f t="shared" si="5"/>
        <v>-</v>
      </c>
      <c r="I57" s="8" t="str">
        <f t="shared" si="6"/>
        <v>-</v>
      </c>
      <c r="J57" s="9" t="str">
        <f t="shared" si="7"/>
        <v>-</v>
      </c>
      <c r="K57" s="8" t="str">
        <f t="shared" si="3"/>
        <v>-</v>
      </c>
      <c r="L57" s="8">
        <v>375.76941111326238</v>
      </c>
      <c r="M57" s="5">
        <v>309</v>
      </c>
      <c r="N57" s="8">
        <f t="shared" si="4"/>
        <v>66.769411113262379</v>
      </c>
    </row>
    <row r="58" spans="2:14" x14ac:dyDescent="0.25">
      <c r="B58" s="5">
        <v>6.5</v>
      </c>
      <c r="C58" s="5">
        <v>300</v>
      </c>
      <c r="D58" s="10">
        <v>0</v>
      </c>
      <c r="E58" s="8">
        <f t="shared" si="0"/>
        <v>1.2832958199356912</v>
      </c>
      <c r="F58" s="8">
        <f t="shared" si="1"/>
        <v>1.2832958199356912</v>
      </c>
      <c r="G58" s="8">
        <f t="shared" si="2"/>
        <v>0.6416479099678456</v>
      </c>
      <c r="H58" s="6">
        <f t="shared" si="5"/>
        <v>50</v>
      </c>
      <c r="I58" s="8">
        <f t="shared" si="6"/>
        <v>0.32678859710709135</v>
      </c>
      <c r="J58" s="9">
        <f t="shared" si="7"/>
        <v>5.5780105404625406E-3</v>
      </c>
      <c r="K58" s="8">
        <f t="shared" si="3"/>
        <v>1.6734031621387622</v>
      </c>
      <c r="L58" s="8" t="str">
        <f>IF(C58&lt;&gt;"-","-","")</f>
        <v>-</v>
      </c>
      <c r="M58" s="5" t="str">
        <f>IF(C58&lt;&gt;"-","-","")</f>
        <v>-</v>
      </c>
      <c r="N58" s="8" t="str">
        <f t="shared" si="4"/>
        <v>-</v>
      </c>
    </row>
    <row r="59" spans="2:14" x14ac:dyDescent="0.25">
      <c r="B59" s="5">
        <v>5</v>
      </c>
      <c r="C59" s="5" t="s">
        <v>21</v>
      </c>
      <c r="D59" s="10">
        <v>2.5665916398713824</v>
      </c>
      <c r="E59" s="8" t="str">
        <f t="shared" si="0"/>
        <v>-</v>
      </c>
      <c r="F59" s="8">
        <f t="shared" si="1"/>
        <v>2.5665916398713824</v>
      </c>
      <c r="G59" s="8" t="str">
        <f t="shared" si="2"/>
        <v>-</v>
      </c>
      <c r="H59" s="6" t="str">
        <f t="shared" si="5"/>
        <v>-</v>
      </c>
      <c r="I59" s="8" t="str">
        <f t="shared" si="6"/>
        <v>-</v>
      </c>
      <c r="J59" s="9" t="str">
        <f t="shared" si="7"/>
        <v>-</v>
      </c>
      <c r="K59" s="8" t="str">
        <f t="shared" si="3"/>
        <v>-</v>
      </c>
      <c r="L59" s="8">
        <v>377.44281427540113</v>
      </c>
      <c r="M59" s="5">
        <v>307</v>
      </c>
      <c r="N59" s="8">
        <f t="shared" si="4"/>
        <v>70.442814275401133</v>
      </c>
    </row>
    <row r="60" spans="2:14" x14ac:dyDescent="0.25">
      <c r="B60" s="5">
        <v>5.31</v>
      </c>
      <c r="C60" s="5">
        <v>300</v>
      </c>
      <c r="D60" s="10">
        <v>2.5665916398713824</v>
      </c>
      <c r="E60" s="8">
        <f t="shared" si="0"/>
        <v>1.2832958199356912</v>
      </c>
      <c r="F60" s="8">
        <f t="shared" si="1"/>
        <v>3.8498874598070736</v>
      </c>
      <c r="G60" s="8">
        <f t="shared" si="2"/>
        <v>3.2082395498392282</v>
      </c>
      <c r="H60" s="6">
        <f t="shared" si="5"/>
        <v>100</v>
      </c>
      <c r="I60" s="8">
        <f t="shared" si="6"/>
        <v>0.4084857463838642</v>
      </c>
      <c r="J60" s="9">
        <f t="shared" si="7"/>
        <v>3.757990689049185E-3</v>
      </c>
      <c r="K60" s="8">
        <f t="shared" si="3"/>
        <v>1.1273972067147555</v>
      </c>
      <c r="L60" s="8" t="str">
        <f>IF(C60&lt;&gt;"-","-","")</f>
        <v>-</v>
      </c>
      <c r="M60" s="5" t="str">
        <f>IF(C60&lt;&gt;"-","-","")</f>
        <v>-</v>
      </c>
      <c r="N60" s="8" t="str">
        <f t="shared" si="4"/>
        <v>-</v>
      </c>
    </row>
    <row r="61" spans="2:14" x14ac:dyDescent="0.25">
      <c r="B61" s="5">
        <v>8</v>
      </c>
      <c r="C61" s="5" t="s">
        <v>21</v>
      </c>
      <c r="D61" s="10">
        <v>20</v>
      </c>
      <c r="E61" s="8" t="str">
        <f t="shared" si="0"/>
        <v>-</v>
      </c>
      <c r="F61" s="8">
        <f t="shared" si="1"/>
        <v>20</v>
      </c>
      <c r="G61" s="8" t="str">
        <f t="shared" si="2"/>
        <v>-</v>
      </c>
      <c r="H61" s="6" t="str">
        <f t="shared" si="5"/>
        <v>-</v>
      </c>
      <c r="I61" s="8" t="str">
        <f t="shared" si="6"/>
        <v>-</v>
      </c>
      <c r="J61" s="9" t="str">
        <f t="shared" si="7"/>
        <v>-</v>
      </c>
      <c r="K61" s="8" t="str">
        <f t="shared" si="3"/>
        <v>-</v>
      </c>
      <c r="L61" s="8">
        <v>377.35860566645454</v>
      </c>
      <c r="M61" s="5">
        <v>306</v>
      </c>
      <c r="N61" s="8">
        <f t="shared" si="4"/>
        <v>71.358605666454537</v>
      </c>
    </row>
    <row r="62" spans="2:14" x14ac:dyDescent="0.25">
      <c r="B62" s="5">
        <v>8.31</v>
      </c>
      <c r="C62" s="5">
        <v>300</v>
      </c>
      <c r="D62" s="10">
        <v>20</v>
      </c>
      <c r="E62" s="8">
        <f t="shared" si="0"/>
        <v>1.2832958199356912</v>
      </c>
      <c r="F62" s="8">
        <f t="shared" si="1"/>
        <v>21.283295819935692</v>
      </c>
      <c r="G62" s="8">
        <f t="shared" si="2"/>
        <v>20.641647909967844</v>
      </c>
      <c r="H62" s="6">
        <f t="shared" si="5"/>
        <v>200</v>
      </c>
      <c r="I62" s="8">
        <f t="shared" si="6"/>
        <v>0.65704405968677448</v>
      </c>
      <c r="J62" s="9">
        <f t="shared" si="7"/>
        <v>4.0386860522045468E-3</v>
      </c>
      <c r="K62" s="8">
        <f t="shared" si="3"/>
        <v>1.211605815661364</v>
      </c>
      <c r="L62" s="8" t="str">
        <f>IF(C62&lt;&gt;"-","-","")</f>
        <v>-</v>
      </c>
      <c r="M62" s="5" t="str">
        <f>IF(C62&lt;&gt;"-","-","")</f>
        <v>-</v>
      </c>
      <c r="N62" s="8" t="str">
        <f t="shared" si="4"/>
        <v>-</v>
      </c>
    </row>
    <row r="63" spans="2:14" x14ac:dyDescent="0.25">
      <c r="B63" s="5">
        <v>4</v>
      </c>
      <c r="C63" s="5" t="s">
        <v>21</v>
      </c>
      <c r="D63" s="10">
        <v>0</v>
      </c>
      <c r="E63" s="8" t="str">
        <f t="shared" si="0"/>
        <v>-</v>
      </c>
      <c r="F63" s="8">
        <f t="shared" si="1"/>
        <v>0</v>
      </c>
      <c r="G63" s="8" t="str">
        <f t="shared" si="2"/>
        <v>-</v>
      </c>
      <c r="H63" s="6" t="str">
        <f t="shared" si="5"/>
        <v>-</v>
      </c>
      <c r="I63" s="8" t="str">
        <f t="shared" si="6"/>
        <v>-</v>
      </c>
      <c r="J63" s="9" t="str">
        <f t="shared" si="7"/>
        <v>-</v>
      </c>
      <c r="K63" s="8" t="str">
        <f t="shared" si="3"/>
        <v>-</v>
      </c>
      <c r="L63" s="8">
        <v>376.89680831997714</v>
      </c>
      <c r="M63" s="5">
        <v>306</v>
      </c>
      <c r="N63" s="8">
        <f t="shared" si="4"/>
        <v>70.89680831997714</v>
      </c>
    </row>
    <row r="64" spans="2:14" x14ac:dyDescent="0.25">
      <c r="B64" s="5">
        <v>4.3099999999999996</v>
      </c>
      <c r="C64" s="5">
        <v>300</v>
      </c>
      <c r="D64" s="10">
        <v>0</v>
      </c>
      <c r="E64" s="8">
        <f>IF(C64="-","-",$C$6*C64)</f>
        <v>1.2832958199356912</v>
      </c>
      <c r="F64" s="8">
        <f>IF(E64="-",D64,D64+E64)</f>
        <v>1.2832958199356912</v>
      </c>
      <c r="G64" s="8">
        <f>IF(E64="-","-",D64+E64/2)</f>
        <v>0.6416479099678456</v>
      </c>
      <c r="H64" s="6">
        <f>IF(G64="-","-",calcd(G64))</f>
        <v>50</v>
      </c>
      <c r="I64" s="8">
        <f t="shared" si="6"/>
        <v>0.32678859710709135</v>
      </c>
      <c r="J64" s="9">
        <f>IF(G64="-","-",K64/C64)</f>
        <v>5.5780105404625406E-3</v>
      </c>
      <c r="K64" s="8">
        <f t="shared" si="3"/>
        <v>1.6734031621387622</v>
      </c>
      <c r="L64" s="8" t="str">
        <f>IF(C64&lt;&gt;"-","-","")</f>
        <v>-</v>
      </c>
      <c r="M64" s="5" t="str">
        <f>IF(C64&lt;&gt;"-","-","")</f>
        <v>-</v>
      </c>
      <c r="N64" s="8" t="str">
        <f t="shared" si="4"/>
        <v>-</v>
      </c>
    </row>
    <row r="65" spans="2:14" x14ac:dyDescent="0.25">
      <c r="B65" s="5">
        <v>3</v>
      </c>
      <c r="C65" s="5" t="s">
        <v>21</v>
      </c>
      <c r="D65" s="10">
        <v>0</v>
      </c>
      <c r="E65" s="8" t="str">
        <f t="shared" si="0"/>
        <v>-</v>
      </c>
      <c r="F65" s="8">
        <f>IF(E65="-",D65,D65+E65)</f>
        <v>0</v>
      </c>
      <c r="G65" s="8" t="str">
        <f t="shared" si="2"/>
        <v>-</v>
      </c>
      <c r="H65" s="6" t="str">
        <f t="shared" si="5"/>
        <v>-</v>
      </c>
      <c r="I65" s="8" t="str">
        <f t="shared" si="6"/>
        <v>-</v>
      </c>
      <c r="J65" s="9" t="str">
        <f t="shared" si="7"/>
        <v>-</v>
      </c>
      <c r="K65" s="8" t="str">
        <f t="shared" si="3"/>
        <v>-</v>
      </c>
      <c r="L65" s="8">
        <v>376.89680831997714</v>
      </c>
      <c r="M65" s="5">
        <v>308</v>
      </c>
      <c r="N65" s="8">
        <f t="shared" si="4"/>
        <v>68.89680831997714</v>
      </c>
    </row>
    <row r="66" spans="2:14" x14ac:dyDescent="0.25">
      <c r="B66" s="5">
        <v>3.31</v>
      </c>
      <c r="C66" s="5">
        <v>300</v>
      </c>
      <c r="D66" s="10">
        <v>0</v>
      </c>
      <c r="E66" s="8">
        <f t="shared" si="0"/>
        <v>1.2832958199356912</v>
      </c>
      <c r="F66" s="8">
        <f t="shared" si="1"/>
        <v>1.2832958199356912</v>
      </c>
      <c r="G66" s="8">
        <f t="shared" si="2"/>
        <v>0.6416479099678456</v>
      </c>
      <c r="H66" s="6">
        <f t="shared" si="5"/>
        <v>50</v>
      </c>
      <c r="I66" s="8">
        <f t="shared" si="6"/>
        <v>0.32678859710709135</v>
      </c>
      <c r="J66" s="9">
        <f t="shared" si="7"/>
        <v>5.5780105404625406E-3</v>
      </c>
      <c r="K66" s="8">
        <f t="shared" si="3"/>
        <v>1.6734031621387622</v>
      </c>
      <c r="L66" s="8" t="str">
        <f>IF(C66&lt;&gt;"-","-","")</f>
        <v>-</v>
      </c>
      <c r="M66" s="5" t="str">
        <f>IF(C66&lt;&gt;"-","-","")</f>
        <v>-</v>
      </c>
      <c r="N66" s="8" t="str">
        <f t="shared" si="4"/>
        <v>-</v>
      </c>
    </row>
    <row r="67" spans="2:14" x14ac:dyDescent="0.25">
      <c r="B67" s="5">
        <v>31</v>
      </c>
      <c r="C67" s="5" t="s">
        <v>21</v>
      </c>
      <c r="D67" s="10">
        <v>27.69977491961415</v>
      </c>
      <c r="E67" s="8" t="str">
        <f t="shared" si="0"/>
        <v>-</v>
      </c>
      <c r="F67" s="8">
        <f t="shared" si="1"/>
        <v>27.69977491961415</v>
      </c>
      <c r="G67" s="8" t="str">
        <f t="shared" si="2"/>
        <v>-</v>
      </c>
      <c r="H67" s="6" t="str">
        <f t="shared" si="5"/>
        <v>-</v>
      </c>
      <c r="I67" s="8" t="str">
        <f t="shared" si="6"/>
        <v>-</v>
      </c>
      <c r="J67" s="9" t="str">
        <f t="shared" si="7"/>
        <v>-</v>
      </c>
      <c r="K67" s="8" t="str">
        <f t="shared" si="3"/>
        <v>-</v>
      </c>
      <c r="L67" s="8">
        <v>378.57021148211589</v>
      </c>
      <c r="M67" s="5">
        <v>315</v>
      </c>
      <c r="N67" s="8">
        <f t="shared" si="4"/>
        <v>63.570211482115894</v>
      </c>
    </row>
    <row r="68" spans="2:14" x14ac:dyDescent="0.25">
      <c r="B68" s="5">
        <v>31.2</v>
      </c>
      <c r="C68" s="5">
        <v>600</v>
      </c>
      <c r="D68" s="10">
        <v>27.69977491961415</v>
      </c>
      <c r="E68" s="8">
        <f t="shared" si="0"/>
        <v>2.5665916398713824</v>
      </c>
      <c r="F68" s="8">
        <f t="shared" si="1"/>
        <v>30.266366559485533</v>
      </c>
      <c r="G68" s="8">
        <f t="shared" si="2"/>
        <v>28.983070739549841</v>
      </c>
      <c r="H68" s="6">
        <f t="shared" si="5"/>
        <v>250</v>
      </c>
      <c r="I68" s="8">
        <f t="shared" si="6"/>
        <v>0.59043826869522331</v>
      </c>
      <c r="J68" s="9">
        <f t="shared" si="7"/>
        <v>2.5543075581800959E-3</v>
      </c>
      <c r="K68" s="8">
        <f>IF(G68="-","-",calch(C68,$C$4,G68,H68))</f>
        <v>1.5325845349080576</v>
      </c>
      <c r="L68" s="8" t="str">
        <f>IF(C68&lt;&gt;"-","-","")</f>
        <v>-</v>
      </c>
      <c r="M68" s="5" t="str">
        <f>IF(C68&lt;&gt;"-","-","")</f>
        <v>-</v>
      </c>
      <c r="N68" s="8" t="str">
        <f t="shared" si="4"/>
        <v>-</v>
      </c>
    </row>
    <row r="69" spans="2:14" x14ac:dyDescent="0.25">
      <c r="B69" s="5">
        <v>2</v>
      </c>
      <c r="C69" s="5" t="s">
        <v>21</v>
      </c>
      <c r="D69" s="10">
        <v>102.99040996784564</v>
      </c>
      <c r="E69" s="8" t="str">
        <f t="shared" si="0"/>
        <v>-</v>
      </c>
      <c r="F69" s="8">
        <f t="shared" si="1"/>
        <v>102.99040996784564</v>
      </c>
      <c r="G69" s="8" t="str">
        <f t="shared" si="2"/>
        <v>-</v>
      </c>
      <c r="H69" s="6" t="str">
        <f t="shared" si="5"/>
        <v>-</v>
      </c>
      <c r="I69" s="8" t="str">
        <f t="shared" si="6"/>
        <v>-</v>
      </c>
      <c r="J69" s="9" t="str">
        <f t="shared" si="7"/>
        <v>-</v>
      </c>
      <c r="K69" s="8" t="str">
        <f t="shared" si="3"/>
        <v>-</v>
      </c>
      <c r="L69" s="8">
        <v>380.10279601702393</v>
      </c>
      <c r="M69" s="5">
        <v>308</v>
      </c>
      <c r="N69" s="8">
        <f t="shared" si="4"/>
        <v>72.102796017023934</v>
      </c>
    </row>
    <row r="70" spans="2:14" x14ac:dyDescent="0.25">
      <c r="B70" s="5">
        <v>2.1</v>
      </c>
      <c r="C70" s="5">
        <v>5500</v>
      </c>
      <c r="D70" s="10">
        <v>102.99040996784564</v>
      </c>
      <c r="E70" s="8">
        <f t="shared" si="0"/>
        <v>23.527090032154341</v>
      </c>
      <c r="F70" s="8">
        <f t="shared" si="1"/>
        <v>126.51749999999998</v>
      </c>
      <c r="G70" s="8">
        <f t="shared" si="2"/>
        <v>114.75395498392281</v>
      </c>
      <c r="H70" s="6">
        <f t="shared" si="5"/>
        <v>350</v>
      </c>
      <c r="I70" s="8">
        <f t="shared" si="6"/>
        <v>1.1927287624513403</v>
      </c>
      <c r="J70" s="9">
        <f t="shared" si="7"/>
        <v>6.3449461787229173E-3</v>
      </c>
      <c r="K70" s="8">
        <f>IF(G70="-","-",calch(C70,$C$4,G70,H70))</f>
        <v>34.897203982976045</v>
      </c>
      <c r="L70" s="8" t="str">
        <f>IF(C70&lt;&gt;"-","-","")</f>
        <v>-</v>
      </c>
      <c r="M70" s="5" t="str">
        <f>IF(C70&lt;&gt;"-","-","")</f>
        <v>-</v>
      </c>
      <c r="N70" s="8" t="str">
        <f t="shared" si="4"/>
        <v>-</v>
      </c>
    </row>
    <row r="71" spans="2:14" x14ac:dyDescent="0.25">
      <c r="B71" s="5">
        <v>1</v>
      </c>
      <c r="C71" s="5" t="s">
        <v>21</v>
      </c>
      <c r="D71" s="10">
        <v>126.51749999999998</v>
      </c>
      <c r="E71" s="8" t="str">
        <f t="shared" si="0"/>
        <v>-</v>
      </c>
      <c r="F71" s="8">
        <f t="shared" si="1"/>
        <v>126.51749999999998</v>
      </c>
      <c r="G71" s="8" t="str">
        <f t="shared" si="2"/>
        <v>-</v>
      </c>
      <c r="H71" s="6" t="str">
        <f t="shared" si="5"/>
        <v>-</v>
      </c>
      <c r="I71" s="8" t="str">
        <f t="shared" si="6"/>
        <v>-</v>
      </c>
      <c r="J71" s="9" t="str">
        <f t="shared" si="7"/>
        <v>-</v>
      </c>
      <c r="K71" s="8" t="str">
        <f>IF(G71="-","-",calch(C71,$C$4,G71,H71))</f>
        <v>-</v>
      </c>
      <c r="L71" s="8">
        <v>415</v>
      </c>
      <c r="M71" s="5">
        <v>415</v>
      </c>
      <c r="N71" s="8">
        <f t="shared" si="4"/>
        <v>0</v>
      </c>
    </row>
    <row r="72" spans="2:14" x14ac:dyDescent="0.25">
      <c r="B72" s="39"/>
      <c r="C72" s="39"/>
      <c r="D72" s="40"/>
      <c r="E72" s="41"/>
      <c r="F72" s="41"/>
      <c r="G72" s="41"/>
      <c r="H72" s="42"/>
      <c r="I72" s="41"/>
      <c r="J72" s="43"/>
      <c r="K72" s="41"/>
      <c r="L72" s="41"/>
      <c r="M72" s="39"/>
      <c r="N72" s="41"/>
    </row>
    <row r="73" spans="2:14" x14ac:dyDescent="0.25">
      <c r="N73" s="8"/>
    </row>
    <row r="74" spans="2:14" x14ac:dyDescent="0.25">
      <c r="N74" s="8"/>
    </row>
    <row r="75" spans="2:14" x14ac:dyDescent="0.25">
      <c r="N75" s="8"/>
    </row>
    <row r="76" spans="2:14" x14ac:dyDescent="0.25">
      <c r="N76" s="8"/>
    </row>
    <row r="77" spans="2:14" x14ac:dyDescent="0.25">
      <c r="N77" s="8"/>
    </row>
    <row r="78" spans="2:14" x14ac:dyDescent="0.25">
      <c r="N78" s="8"/>
    </row>
    <row r="79" spans="2:14" x14ac:dyDescent="0.25">
      <c r="N79" s="8"/>
    </row>
    <row r="80" spans="2:14" x14ac:dyDescent="0.25">
      <c r="N80" s="8"/>
    </row>
    <row r="81" spans="14:14" x14ac:dyDescent="0.25">
      <c r="N81" s="8"/>
    </row>
    <row r="82" spans="14:14" x14ac:dyDescent="0.25">
      <c r="N82" s="8"/>
    </row>
    <row r="83" spans="14:14" x14ac:dyDescent="0.25">
      <c r="N83" s="8"/>
    </row>
    <row r="84" spans="14:14" x14ac:dyDescent="0.25">
      <c r="N84" s="8"/>
    </row>
    <row r="85" spans="14:14" x14ac:dyDescent="0.25">
      <c r="N85" s="8"/>
    </row>
    <row r="86" spans="14:14" x14ac:dyDescent="0.25">
      <c r="N86" s="8"/>
    </row>
    <row r="87" spans="14:14" x14ac:dyDescent="0.25">
      <c r="N87" s="8"/>
    </row>
    <row r="88" spans="14:14" x14ac:dyDescent="0.25">
      <c r="N88" s="8"/>
    </row>
    <row r="89" spans="14:14" x14ac:dyDescent="0.25">
      <c r="N89" s="8"/>
    </row>
    <row r="90" spans="14:14" x14ac:dyDescent="0.25">
      <c r="N90" s="8"/>
    </row>
    <row r="91" spans="14:14" x14ac:dyDescent="0.25">
      <c r="N91" s="8"/>
    </row>
    <row r="92" spans="14:14" x14ac:dyDescent="0.25">
      <c r="N92" s="8"/>
    </row>
    <row r="93" spans="14:14" x14ac:dyDescent="0.25">
      <c r="N93" s="8"/>
    </row>
    <row r="94" spans="14:14" x14ac:dyDescent="0.25">
      <c r="N94" s="8"/>
    </row>
    <row r="95" spans="14:14" x14ac:dyDescent="0.25">
      <c r="N95" s="8"/>
    </row>
    <row r="96" spans="14:14" x14ac:dyDescent="0.25">
      <c r="N96" s="8"/>
    </row>
    <row r="97" spans="14:14" x14ac:dyDescent="0.25">
      <c r="N97" s="8"/>
    </row>
    <row r="98" spans="14:14" x14ac:dyDescent="0.25">
      <c r="N98" s="8"/>
    </row>
    <row r="99" spans="14:14" x14ac:dyDescent="0.25">
      <c r="N99" s="8"/>
    </row>
    <row r="100" spans="14:14" x14ac:dyDescent="0.25">
      <c r="N100" s="8"/>
    </row>
    <row r="101" spans="14:14" x14ac:dyDescent="0.25">
      <c r="N101" s="8"/>
    </row>
    <row r="102" spans="14:14" x14ac:dyDescent="0.25">
      <c r="N102" s="8"/>
    </row>
    <row r="103" spans="14:14" x14ac:dyDescent="0.25">
      <c r="N103" s="8"/>
    </row>
    <row r="104" spans="14:14" x14ac:dyDescent="0.25">
      <c r="N104" s="8"/>
    </row>
    <row r="105" spans="14:14" x14ac:dyDescent="0.25">
      <c r="N105" s="8"/>
    </row>
    <row r="106" spans="14:14" x14ac:dyDescent="0.25">
      <c r="N106" s="8"/>
    </row>
    <row r="107" spans="14:14" x14ac:dyDescent="0.25">
      <c r="N107" s="8"/>
    </row>
    <row r="108" spans="14:14" x14ac:dyDescent="0.25">
      <c r="N108" s="8"/>
    </row>
    <row r="109" spans="14:14" x14ac:dyDescent="0.25">
      <c r="N109" s="8"/>
    </row>
    <row r="110" spans="14:14" x14ac:dyDescent="0.25">
      <c r="N110" s="8"/>
    </row>
    <row r="111" spans="14:14" x14ac:dyDescent="0.25">
      <c r="N111" s="8"/>
    </row>
    <row r="112" spans="14:14" x14ac:dyDescent="0.25">
      <c r="N112" s="8"/>
    </row>
    <row r="113" spans="14:14" x14ac:dyDescent="0.25">
      <c r="N113" s="8"/>
    </row>
    <row r="114" spans="14:14" x14ac:dyDescent="0.25">
      <c r="N114" s="8"/>
    </row>
    <row r="115" spans="14:14" x14ac:dyDescent="0.25">
      <c r="N115" s="8"/>
    </row>
    <row r="116" spans="14:14" x14ac:dyDescent="0.25">
      <c r="N116" s="8"/>
    </row>
    <row r="117" spans="14:14" x14ac:dyDescent="0.25">
      <c r="N117" s="8"/>
    </row>
    <row r="118" spans="14:14" x14ac:dyDescent="0.25">
      <c r="N118" s="8"/>
    </row>
    <row r="119" spans="14:14" x14ac:dyDescent="0.25">
      <c r="N119" s="8"/>
    </row>
    <row r="120" spans="14:14" x14ac:dyDescent="0.25">
      <c r="N120" s="8"/>
    </row>
    <row r="121" spans="14:14" x14ac:dyDescent="0.25">
      <c r="N121" s="8"/>
    </row>
    <row r="122" spans="14:14" x14ac:dyDescent="0.25">
      <c r="N122" s="8"/>
    </row>
    <row r="123" spans="14:14" x14ac:dyDescent="0.25">
      <c r="N123" s="8"/>
    </row>
    <row r="124" spans="14:14" x14ac:dyDescent="0.25">
      <c r="N124" s="8"/>
    </row>
    <row r="125" spans="14:14" x14ac:dyDescent="0.25">
      <c r="N125" s="8"/>
    </row>
    <row r="126" spans="14:14" x14ac:dyDescent="0.25">
      <c r="N126" s="8"/>
    </row>
    <row r="127" spans="14:14" x14ac:dyDescent="0.25">
      <c r="N127" s="8"/>
    </row>
    <row r="128" spans="14:14" x14ac:dyDescent="0.25">
      <c r="N128" s="8"/>
    </row>
    <row r="129" spans="14:14" x14ac:dyDescent="0.25">
      <c r="N129" s="8"/>
    </row>
    <row r="130" spans="14:14" x14ac:dyDescent="0.25">
      <c r="N130" s="8"/>
    </row>
    <row r="131" spans="14:14" x14ac:dyDescent="0.25">
      <c r="N131" s="8"/>
    </row>
    <row r="132" spans="14:14" x14ac:dyDescent="0.25">
      <c r="N132" s="8"/>
    </row>
    <row r="133" spans="14:14" x14ac:dyDescent="0.25">
      <c r="N133" s="8"/>
    </row>
    <row r="134" spans="14:14" x14ac:dyDescent="0.25">
      <c r="N134" s="8"/>
    </row>
    <row r="135" spans="14:14" x14ac:dyDescent="0.25">
      <c r="N135" s="8"/>
    </row>
    <row r="136" spans="14:14" x14ac:dyDescent="0.25">
      <c r="N136" s="8"/>
    </row>
    <row r="137" spans="14:14" x14ac:dyDescent="0.25">
      <c r="N137" s="8"/>
    </row>
    <row r="138" spans="14:14" x14ac:dyDescent="0.25">
      <c r="N138" s="8"/>
    </row>
    <row r="139" spans="14:14" x14ac:dyDescent="0.25">
      <c r="N139" s="8"/>
    </row>
    <row r="140" spans="14:14" x14ac:dyDescent="0.25">
      <c r="N140" s="8"/>
    </row>
    <row r="141" spans="14:14" x14ac:dyDescent="0.25">
      <c r="N141" s="8"/>
    </row>
    <row r="142" spans="14:14" x14ac:dyDescent="0.25">
      <c r="N142" s="8"/>
    </row>
    <row r="143" spans="14:14" x14ac:dyDescent="0.25">
      <c r="N143" s="8"/>
    </row>
    <row r="144" spans="14:14" x14ac:dyDescent="0.25">
      <c r="N144" s="8"/>
    </row>
    <row r="145" spans="14:14" x14ac:dyDescent="0.25">
      <c r="N145" s="8"/>
    </row>
    <row r="146" spans="14:14" x14ac:dyDescent="0.25">
      <c r="N146" s="8"/>
    </row>
    <row r="147" spans="14:14" x14ac:dyDescent="0.25">
      <c r="N147" s="8"/>
    </row>
    <row r="148" spans="14:14" x14ac:dyDescent="0.25">
      <c r="N148" s="8"/>
    </row>
    <row r="149" spans="14:14" x14ac:dyDescent="0.25">
      <c r="N149" s="8"/>
    </row>
    <row r="150" spans="14:14" x14ac:dyDescent="0.25">
      <c r="N150" s="8"/>
    </row>
    <row r="151" spans="14:14" x14ac:dyDescent="0.25">
      <c r="N151" s="8"/>
    </row>
    <row r="152" spans="14:14" x14ac:dyDescent="0.25">
      <c r="N152" s="8"/>
    </row>
    <row r="153" spans="14:14" x14ac:dyDescent="0.25">
      <c r="N153" s="8"/>
    </row>
    <row r="154" spans="14:14" x14ac:dyDescent="0.25">
      <c r="N154" s="8"/>
    </row>
    <row r="155" spans="14:14" x14ac:dyDescent="0.25">
      <c r="N155" s="8"/>
    </row>
    <row r="156" spans="14:14" x14ac:dyDescent="0.25">
      <c r="N156" s="8"/>
    </row>
    <row r="157" spans="14:14" x14ac:dyDescent="0.25">
      <c r="N157" s="8"/>
    </row>
    <row r="158" spans="14:14" x14ac:dyDescent="0.25">
      <c r="N158" s="8"/>
    </row>
    <row r="159" spans="14:14" x14ac:dyDescent="0.25">
      <c r="N159" s="8"/>
    </row>
    <row r="160" spans="14:14" x14ac:dyDescent="0.25">
      <c r="N160" s="8"/>
    </row>
    <row r="161" spans="14:14" x14ac:dyDescent="0.25">
      <c r="N161" s="8"/>
    </row>
    <row r="162" spans="14:14" x14ac:dyDescent="0.25">
      <c r="N162" s="8"/>
    </row>
    <row r="163" spans="14:14" x14ac:dyDescent="0.25">
      <c r="N163" s="8"/>
    </row>
    <row r="164" spans="14:14" x14ac:dyDescent="0.25">
      <c r="N164" s="8"/>
    </row>
    <row r="165" spans="14:14" x14ac:dyDescent="0.25">
      <c r="N165" s="8"/>
    </row>
    <row r="166" spans="14:14" x14ac:dyDescent="0.25">
      <c r="N166" s="8"/>
    </row>
    <row r="167" spans="14:14" x14ac:dyDescent="0.25">
      <c r="N167" s="8"/>
    </row>
    <row r="168" spans="14:14" x14ac:dyDescent="0.25">
      <c r="N168" s="8"/>
    </row>
    <row r="169" spans="14:14" x14ac:dyDescent="0.25">
      <c r="N169" s="8"/>
    </row>
    <row r="170" spans="14:14" x14ac:dyDescent="0.25">
      <c r="N170" s="8"/>
    </row>
    <row r="171" spans="14:14" x14ac:dyDescent="0.25">
      <c r="N171" s="8"/>
    </row>
    <row r="172" spans="14:14" x14ac:dyDescent="0.25">
      <c r="N172" s="8"/>
    </row>
    <row r="173" spans="14:14" x14ac:dyDescent="0.25">
      <c r="N173" s="8"/>
    </row>
    <row r="174" spans="14:14" x14ac:dyDescent="0.25">
      <c r="N174" s="8"/>
    </row>
    <row r="175" spans="14:14" x14ac:dyDescent="0.25">
      <c r="N175" s="8"/>
    </row>
    <row r="176" spans="14:14" x14ac:dyDescent="0.25">
      <c r="N176" s="8"/>
    </row>
    <row r="177" spans="14:14" x14ac:dyDescent="0.25">
      <c r="N177" s="8"/>
    </row>
    <row r="178" spans="14:14" x14ac:dyDescent="0.25">
      <c r="N178" s="8"/>
    </row>
    <row r="179" spans="14:14" x14ac:dyDescent="0.25">
      <c r="N179" s="8"/>
    </row>
    <row r="180" spans="14:14" x14ac:dyDescent="0.25">
      <c r="N180" s="8"/>
    </row>
    <row r="181" spans="14:14" x14ac:dyDescent="0.25">
      <c r="N181" s="8"/>
    </row>
    <row r="182" spans="14:14" x14ac:dyDescent="0.25">
      <c r="N182" s="8"/>
    </row>
    <row r="183" spans="14:14" x14ac:dyDescent="0.25">
      <c r="N183" s="8"/>
    </row>
    <row r="184" spans="14:14" x14ac:dyDescent="0.25">
      <c r="N184" s="8"/>
    </row>
    <row r="185" spans="14:14" x14ac:dyDescent="0.25">
      <c r="N185" s="8"/>
    </row>
    <row r="186" spans="14:14" x14ac:dyDescent="0.25">
      <c r="N186" s="8"/>
    </row>
    <row r="187" spans="14:14" x14ac:dyDescent="0.25">
      <c r="N187" s="8"/>
    </row>
    <row r="188" spans="14:14" x14ac:dyDescent="0.25">
      <c r="N188" s="8"/>
    </row>
    <row r="189" spans="14:14" x14ac:dyDescent="0.25">
      <c r="N189" s="8"/>
    </row>
    <row r="190" spans="14:14" x14ac:dyDescent="0.25">
      <c r="N190" s="8"/>
    </row>
    <row r="191" spans="14:14" x14ac:dyDescent="0.25">
      <c r="N191" s="8"/>
    </row>
    <row r="192" spans="14:14" x14ac:dyDescent="0.25">
      <c r="N192" s="8"/>
    </row>
    <row r="193" spans="14:14" x14ac:dyDescent="0.25">
      <c r="N193" s="8"/>
    </row>
    <row r="194" spans="14:14" x14ac:dyDescent="0.25">
      <c r="N194" s="8"/>
    </row>
    <row r="195" spans="14:14" x14ac:dyDescent="0.25">
      <c r="N195" s="8"/>
    </row>
    <row r="196" spans="14:14" x14ac:dyDescent="0.25">
      <c r="N196" s="8"/>
    </row>
    <row r="197" spans="14:14" x14ac:dyDescent="0.25">
      <c r="N197" s="8"/>
    </row>
    <row r="198" spans="14:14" x14ac:dyDescent="0.25">
      <c r="N198" s="8"/>
    </row>
    <row r="199" spans="14:14" x14ac:dyDescent="0.25">
      <c r="N199" s="8"/>
    </row>
    <row r="200" spans="14:14" x14ac:dyDescent="0.25">
      <c r="N200" s="8"/>
    </row>
    <row r="201" spans="14:14" x14ac:dyDescent="0.25">
      <c r="N201" s="8"/>
    </row>
    <row r="202" spans="14:14" x14ac:dyDescent="0.25">
      <c r="N202" s="8"/>
    </row>
    <row r="203" spans="14:14" x14ac:dyDescent="0.25">
      <c r="N203" s="8"/>
    </row>
    <row r="204" spans="14:14" x14ac:dyDescent="0.25">
      <c r="N204" s="8"/>
    </row>
    <row r="205" spans="14:14" x14ac:dyDescent="0.25">
      <c r="N205" s="8"/>
    </row>
    <row r="206" spans="14:14" x14ac:dyDescent="0.25">
      <c r="N206" s="8"/>
    </row>
    <row r="207" spans="14:14" x14ac:dyDescent="0.25">
      <c r="N207" s="8"/>
    </row>
    <row r="208" spans="14:14" x14ac:dyDescent="0.25">
      <c r="N208" s="8"/>
    </row>
    <row r="209" spans="14:14" x14ac:dyDescent="0.25">
      <c r="N209" s="8"/>
    </row>
    <row r="210" spans="14:14" x14ac:dyDescent="0.25">
      <c r="N210" s="8"/>
    </row>
    <row r="211" spans="14:14" x14ac:dyDescent="0.25">
      <c r="N211" s="8"/>
    </row>
    <row r="212" spans="14:14" x14ac:dyDescent="0.25">
      <c r="N212" s="8"/>
    </row>
    <row r="213" spans="14:14" x14ac:dyDescent="0.25">
      <c r="N213" s="8"/>
    </row>
    <row r="214" spans="14:14" x14ac:dyDescent="0.25">
      <c r="N214" s="8"/>
    </row>
    <row r="215" spans="14:14" x14ac:dyDescent="0.25">
      <c r="N215" s="8"/>
    </row>
    <row r="216" spans="14:14" x14ac:dyDescent="0.25">
      <c r="N216" s="8"/>
    </row>
    <row r="217" spans="14:14" x14ac:dyDescent="0.25">
      <c r="N217" s="8"/>
    </row>
    <row r="218" spans="14:14" x14ac:dyDescent="0.25">
      <c r="N218" s="8"/>
    </row>
    <row r="219" spans="14:14" x14ac:dyDescent="0.25">
      <c r="N219" s="8"/>
    </row>
    <row r="220" spans="14:14" x14ac:dyDescent="0.25">
      <c r="N220" s="8"/>
    </row>
    <row r="221" spans="14:14" x14ac:dyDescent="0.25">
      <c r="N221" s="8"/>
    </row>
    <row r="222" spans="14:14" x14ac:dyDescent="0.25">
      <c r="N222" s="8"/>
    </row>
    <row r="223" spans="14:14" x14ac:dyDescent="0.25">
      <c r="N223" s="8"/>
    </row>
    <row r="224" spans="14:14" x14ac:dyDescent="0.25">
      <c r="N224" s="8"/>
    </row>
    <row r="225" spans="14:14" x14ac:dyDescent="0.25">
      <c r="N225" s="8"/>
    </row>
    <row r="226" spans="14:14" x14ac:dyDescent="0.25">
      <c r="N226" s="8"/>
    </row>
    <row r="227" spans="14:14" x14ac:dyDescent="0.25">
      <c r="N227" s="8"/>
    </row>
    <row r="228" spans="14:14" x14ac:dyDescent="0.25">
      <c r="N228" s="8"/>
    </row>
    <row r="229" spans="14:14" x14ac:dyDescent="0.25">
      <c r="N229" s="8"/>
    </row>
    <row r="230" spans="14:14" x14ac:dyDescent="0.25">
      <c r="N230" s="8"/>
    </row>
    <row r="231" spans="14:14" x14ac:dyDescent="0.25">
      <c r="N231" s="8"/>
    </row>
    <row r="232" spans="14:14" x14ac:dyDescent="0.25">
      <c r="N232" s="8"/>
    </row>
    <row r="233" spans="14:14" x14ac:dyDescent="0.25">
      <c r="N233" s="8"/>
    </row>
    <row r="234" spans="14:14" x14ac:dyDescent="0.25">
      <c r="N234" s="8"/>
    </row>
    <row r="235" spans="14:14" x14ac:dyDescent="0.25">
      <c r="N235" s="8"/>
    </row>
    <row r="236" spans="14:14" x14ac:dyDescent="0.25">
      <c r="N236" s="8"/>
    </row>
    <row r="237" spans="14:14" x14ac:dyDescent="0.25">
      <c r="N237" s="8"/>
    </row>
    <row r="238" spans="14:14" x14ac:dyDescent="0.25">
      <c r="N238" s="8"/>
    </row>
    <row r="239" spans="14:14" x14ac:dyDescent="0.25">
      <c r="N239" s="8"/>
    </row>
    <row r="240" spans="14:14" x14ac:dyDescent="0.25">
      <c r="N240" s="8"/>
    </row>
    <row r="241" spans="14:14" x14ac:dyDescent="0.25">
      <c r="N241" s="8"/>
    </row>
    <row r="242" spans="14:14" x14ac:dyDescent="0.25">
      <c r="N242" s="8"/>
    </row>
    <row r="243" spans="14:14" x14ac:dyDescent="0.25">
      <c r="N243" s="8"/>
    </row>
    <row r="244" spans="14:14" x14ac:dyDescent="0.25">
      <c r="N244" s="8"/>
    </row>
    <row r="245" spans="14:14" x14ac:dyDescent="0.25">
      <c r="N245" s="8"/>
    </row>
    <row r="246" spans="14:14" x14ac:dyDescent="0.25">
      <c r="N246" s="8"/>
    </row>
    <row r="247" spans="14:14" x14ac:dyDescent="0.25">
      <c r="N247" s="8"/>
    </row>
    <row r="248" spans="14:14" x14ac:dyDescent="0.25">
      <c r="N248" s="8"/>
    </row>
    <row r="249" spans="14:14" x14ac:dyDescent="0.25">
      <c r="N249" s="8"/>
    </row>
    <row r="250" spans="14:14" x14ac:dyDescent="0.25">
      <c r="N250" s="8"/>
    </row>
    <row r="251" spans="14:14" x14ac:dyDescent="0.25">
      <c r="N251" s="8"/>
    </row>
    <row r="252" spans="14:14" x14ac:dyDescent="0.25">
      <c r="N252" s="8"/>
    </row>
    <row r="253" spans="14:14" x14ac:dyDescent="0.25">
      <c r="N253" s="8"/>
    </row>
    <row r="254" spans="14:14" x14ac:dyDescent="0.25">
      <c r="N254" s="8"/>
    </row>
    <row r="255" spans="14:14" x14ac:dyDescent="0.25">
      <c r="N255" s="8"/>
    </row>
    <row r="256" spans="14:14" x14ac:dyDescent="0.25">
      <c r="N256" s="8"/>
    </row>
    <row r="257" spans="14:14" x14ac:dyDescent="0.25">
      <c r="N257" s="8"/>
    </row>
    <row r="258" spans="14:14" x14ac:dyDescent="0.25">
      <c r="N258" s="8"/>
    </row>
    <row r="259" spans="14:14" x14ac:dyDescent="0.25">
      <c r="N259" s="8"/>
    </row>
    <row r="260" spans="14:14" x14ac:dyDescent="0.25">
      <c r="N260" s="8"/>
    </row>
    <row r="261" spans="14:14" x14ac:dyDescent="0.25">
      <c r="N261" s="8"/>
    </row>
    <row r="262" spans="14:14" x14ac:dyDescent="0.25">
      <c r="N262" s="8"/>
    </row>
    <row r="263" spans="14:14" x14ac:dyDescent="0.25">
      <c r="N263" s="8"/>
    </row>
    <row r="264" spans="14:14" x14ac:dyDescent="0.25">
      <c r="N264" s="8"/>
    </row>
    <row r="265" spans="14:14" x14ac:dyDescent="0.25">
      <c r="N265" s="8"/>
    </row>
    <row r="266" spans="14:14" x14ac:dyDescent="0.25">
      <c r="N266" s="8"/>
    </row>
    <row r="267" spans="14:14" x14ac:dyDescent="0.25">
      <c r="N267" s="8"/>
    </row>
    <row r="268" spans="14:14" x14ac:dyDescent="0.25">
      <c r="N268" s="8"/>
    </row>
    <row r="269" spans="14:14" x14ac:dyDescent="0.25">
      <c r="N269" s="8"/>
    </row>
    <row r="270" spans="14:14" x14ac:dyDescent="0.25">
      <c r="N270" s="8"/>
    </row>
    <row r="271" spans="14:14" x14ac:dyDescent="0.25">
      <c r="N271" s="8"/>
    </row>
    <row r="272" spans="14:14" x14ac:dyDescent="0.25">
      <c r="N272" s="8"/>
    </row>
    <row r="273" spans="14:14" x14ac:dyDescent="0.25">
      <c r="N273" s="8"/>
    </row>
    <row r="274" spans="14:14" x14ac:dyDescent="0.25">
      <c r="N274" s="8"/>
    </row>
    <row r="275" spans="14:14" x14ac:dyDescent="0.25">
      <c r="N275" s="8"/>
    </row>
    <row r="276" spans="14:14" x14ac:dyDescent="0.25">
      <c r="N276" s="8"/>
    </row>
    <row r="277" spans="14:14" x14ac:dyDescent="0.25">
      <c r="N277" s="8"/>
    </row>
    <row r="278" spans="14:14" x14ac:dyDescent="0.25">
      <c r="N278" s="8"/>
    </row>
    <row r="279" spans="14:14" x14ac:dyDescent="0.25">
      <c r="N279" s="8"/>
    </row>
    <row r="280" spans="14:14" x14ac:dyDescent="0.25">
      <c r="N280" s="8"/>
    </row>
    <row r="281" spans="14:14" x14ac:dyDescent="0.25">
      <c r="N281" s="8"/>
    </row>
    <row r="282" spans="14:14" x14ac:dyDescent="0.25">
      <c r="N282" s="8"/>
    </row>
    <row r="283" spans="14:14" x14ac:dyDescent="0.25">
      <c r="N283" s="8"/>
    </row>
    <row r="284" spans="14:14" x14ac:dyDescent="0.25">
      <c r="N284" s="8"/>
    </row>
    <row r="285" spans="14:14" x14ac:dyDescent="0.25">
      <c r="N285" s="8"/>
    </row>
    <row r="286" spans="14:14" x14ac:dyDescent="0.25">
      <c r="N286" s="8"/>
    </row>
    <row r="287" spans="14:14" x14ac:dyDescent="0.25">
      <c r="N287" s="8"/>
    </row>
    <row r="288" spans="14:14" x14ac:dyDescent="0.25">
      <c r="N288" s="8"/>
    </row>
    <row r="289" spans="14:14" x14ac:dyDescent="0.25">
      <c r="N289" s="8"/>
    </row>
    <row r="290" spans="14:14" x14ac:dyDescent="0.25">
      <c r="N290" s="8"/>
    </row>
    <row r="291" spans="14:14" x14ac:dyDescent="0.25">
      <c r="N291" s="8"/>
    </row>
    <row r="292" spans="14:14" x14ac:dyDescent="0.25">
      <c r="N292" s="8"/>
    </row>
    <row r="293" spans="14:14" x14ac:dyDescent="0.25">
      <c r="N293" s="8"/>
    </row>
    <row r="294" spans="14:14" x14ac:dyDescent="0.25">
      <c r="N294" s="8"/>
    </row>
    <row r="295" spans="14:14" x14ac:dyDescent="0.25">
      <c r="N295" s="8"/>
    </row>
    <row r="296" spans="14:14" x14ac:dyDescent="0.25">
      <c r="N296" s="8"/>
    </row>
    <row r="297" spans="14:14" x14ac:dyDescent="0.25">
      <c r="N297" s="8"/>
    </row>
    <row r="298" spans="14:14" x14ac:dyDescent="0.25">
      <c r="N298" s="8"/>
    </row>
    <row r="299" spans="14:14" x14ac:dyDescent="0.25">
      <c r="N299" s="8"/>
    </row>
    <row r="300" spans="14:14" x14ac:dyDescent="0.25">
      <c r="N300" s="8"/>
    </row>
    <row r="301" spans="14:14" x14ac:dyDescent="0.25">
      <c r="N301" s="8"/>
    </row>
    <row r="302" spans="14:14" x14ac:dyDescent="0.25">
      <c r="N302" s="8"/>
    </row>
    <row r="303" spans="14:14" x14ac:dyDescent="0.25">
      <c r="N303" s="8"/>
    </row>
    <row r="304" spans="14:14" x14ac:dyDescent="0.25">
      <c r="N304" s="8"/>
    </row>
    <row r="305" spans="14:14" x14ac:dyDescent="0.25">
      <c r="N305" s="8"/>
    </row>
    <row r="306" spans="14:14" x14ac:dyDescent="0.25">
      <c r="N306" s="8"/>
    </row>
    <row r="307" spans="14:14" x14ac:dyDescent="0.25">
      <c r="N307" s="8"/>
    </row>
    <row r="308" spans="14:14" x14ac:dyDescent="0.25">
      <c r="N308" s="8"/>
    </row>
    <row r="309" spans="14:14" x14ac:dyDescent="0.25">
      <c r="N309" s="8"/>
    </row>
    <row r="310" spans="14:14" x14ac:dyDescent="0.25">
      <c r="N310" s="8"/>
    </row>
    <row r="311" spans="14:14" x14ac:dyDescent="0.25">
      <c r="N311" s="8"/>
    </row>
    <row r="312" spans="14:14" x14ac:dyDescent="0.25">
      <c r="N312" s="8"/>
    </row>
    <row r="313" spans="14:14" x14ac:dyDescent="0.25">
      <c r="N313" s="8"/>
    </row>
    <row r="314" spans="14:14" x14ac:dyDescent="0.25">
      <c r="N314" s="8"/>
    </row>
    <row r="315" spans="14:14" x14ac:dyDescent="0.25">
      <c r="N315" s="8"/>
    </row>
    <row r="316" spans="14:14" x14ac:dyDescent="0.25">
      <c r="N316" s="8"/>
    </row>
    <row r="317" spans="14:14" x14ac:dyDescent="0.25">
      <c r="N317" s="8"/>
    </row>
    <row r="318" spans="14:14" x14ac:dyDescent="0.25">
      <c r="N318" s="8"/>
    </row>
    <row r="319" spans="14:14" x14ac:dyDescent="0.25">
      <c r="N319" s="8"/>
    </row>
    <row r="320" spans="14:14" x14ac:dyDescent="0.25">
      <c r="N320" s="8"/>
    </row>
    <row r="321" spans="14:14" x14ac:dyDescent="0.25">
      <c r="N321" s="8"/>
    </row>
    <row r="322" spans="14:14" x14ac:dyDescent="0.25">
      <c r="N322" s="8"/>
    </row>
    <row r="323" spans="14:14" x14ac:dyDescent="0.25">
      <c r="N323" s="8"/>
    </row>
    <row r="324" spans="14:14" x14ac:dyDescent="0.25">
      <c r="N324" s="8"/>
    </row>
    <row r="325" spans="14:14" x14ac:dyDescent="0.25">
      <c r="N325" s="8"/>
    </row>
    <row r="326" spans="14:14" x14ac:dyDescent="0.25">
      <c r="N326" s="8"/>
    </row>
    <row r="327" spans="14:14" x14ac:dyDescent="0.25">
      <c r="N327" s="8"/>
    </row>
    <row r="328" spans="14:14" x14ac:dyDescent="0.25">
      <c r="N328" s="8"/>
    </row>
    <row r="329" spans="14:14" x14ac:dyDescent="0.25">
      <c r="N329" s="8"/>
    </row>
    <row r="330" spans="14:14" x14ac:dyDescent="0.25">
      <c r="N330" s="8"/>
    </row>
    <row r="331" spans="14:14" x14ac:dyDescent="0.25">
      <c r="N331" s="8"/>
    </row>
    <row r="332" spans="14:14" x14ac:dyDescent="0.25">
      <c r="N332" s="8"/>
    </row>
    <row r="333" spans="14:14" x14ac:dyDescent="0.25">
      <c r="N333" s="8"/>
    </row>
    <row r="334" spans="14:14" x14ac:dyDescent="0.25">
      <c r="N334" s="8"/>
    </row>
    <row r="335" spans="14:14" x14ac:dyDescent="0.25">
      <c r="N335" s="8"/>
    </row>
    <row r="336" spans="14:14" x14ac:dyDescent="0.25">
      <c r="N336" s="8"/>
    </row>
    <row r="337" spans="14:14" x14ac:dyDescent="0.25">
      <c r="N337" s="8"/>
    </row>
    <row r="338" spans="14:14" x14ac:dyDescent="0.25">
      <c r="N338" s="8"/>
    </row>
    <row r="339" spans="14:14" x14ac:dyDescent="0.25">
      <c r="N339" s="8"/>
    </row>
    <row r="340" spans="14:14" x14ac:dyDescent="0.25">
      <c r="N340" s="8"/>
    </row>
    <row r="341" spans="14:14" x14ac:dyDescent="0.25">
      <c r="N341" s="8"/>
    </row>
    <row r="342" spans="14:14" x14ac:dyDescent="0.25">
      <c r="N342" s="8"/>
    </row>
    <row r="343" spans="14:14" x14ac:dyDescent="0.25">
      <c r="N343" s="8"/>
    </row>
    <row r="344" spans="14:14" x14ac:dyDescent="0.25">
      <c r="N344" s="8"/>
    </row>
    <row r="345" spans="14:14" x14ac:dyDescent="0.25">
      <c r="N345" s="8"/>
    </row>
    <row r="346" spans="14:14" x14ac:dyDescent="0.25">
      <c r="N346" s="8"/>
    </row>
    <row r="347" spans="14:14" x14ac:dyDescent="0.25">
      <c r="N347" s="8"/>
    </row>
    <row r="348" spans="14:14" x14ac:dyDescent="0.25">
      <c r="N348" s="8"/>
    </row>
    <row r="349" spans="14:14" x14ac:dyDescent="0.25">
      <c r="N349" s="8"/>
    </row>
    <row r="350" spans="14:14" x14ac:dyDescent="0.25">
      <c r="N350" s="8"/>
    </row>
    <row r="351" spans="14:14" x14ac:dyDescent="0.25">
      <c r="N351" s="8"/>
    </row>
    <row r="352" spans="14:14" x14ac:dyDescent="0.25">
      <c r="N352" s="8"/>
    </row>
    <row r="353" spans="14:14" x14ac:dyDescent="0.25">
      <c r="N353" s="8"/>
    </row>
    <row r="354" spans="14:14" x14ac:dyDescent="0.25">
      <c r="N354" s="8"/>
    </row>
    <row r="355" spans="14:14" x14ac:dyDescent="0.25">
      <c r="N355" s="8"/>
    </row>
    <row r="356" spans="14:14" x14ac:dyDescent="0.25">
      <c r="N356" s="8"/>
    </row>
    <row r="357" spans="14:14" x14ac:dyDescent="0.25">
      <c r="N357" s="8"/>
    </row>
    <row r="358" spans="14:14" x14ac:dyDescent="0.25">
      <c r="N358" s="8"/>
    </row>
    <row r="359" spans="14:14" x14ac:dyDescent="0.25">
      <c r="N359" s="8"/>
    </row>
    <row r="360" spans="14:14" x14ac:dyDescent="0.25">
      <c r="N360" s="8"/>
    </row>
    <row r="361" spans="14:14" x14ac:dyDescent="0.25">
      <c r="N361" s="8"/>
    </row>
    <row r="362" spans="14:14" x14ac:dyDescent="0.25">
      <c r="N362" s="8"/>
    </row>
    <row r="363" spans="14:14" x14ac:dyDescent="0.25">
      <c r="N363" s="8"/>
    </row>
    <row r="364" spans="14:14" x14ac:dyDescent="0.25">
      <c r="N364" s="8"/>
    </row>
    <row r="365" spans="14:14" x14ac:dyDescent="0.25">
      <c r="N365" s="8"/>
    </row>
    <row r="366" spans="14:14" x14ac:dyDescent="0.25">
      <c r="N366" s="8"/>
    </row>
    <row r="367" spans="14:14" x14ac:dyDescent="0.25">
      <c r="N367" s="8"/>
    </row>
    <row r="368" spans="14:14" x14ac:dyDescent="0.25">
      <c r="N368" s="8"/>
    </row>
    <row r="369" spans="14:14" x14ac:dyDescent="0.25">
      <c r="N369" s="8"/>
    </row>
    <row r="370" spans="14:14" x14ac:dyDescent="0.25">
      <c r="N370" s="8"/>
    </row>
    <row r="371" spans="14:14" x14ac:dyDescent="0.25">
      <c r="N371" s="8"/>
    </row>
    <row r="372" spans="14:14" x14ac:dyDescent="0.25">
      <c r="N372" s="8"/>
    </row>
    <row r="373" spans="14:14" x14ac:dyDescent="0.25">
      <c r="N373" s="8"/>
    </row>
    <row r="374" spans="14:14" x14ac:dyDescent="0.25">
      <c r="N374" s="8"/>
    </row>
    <row r="375" spans="14:14" x14ac:dyDescent="0.25">
      <c r="N375" s="8"/>
    </row>
    <row r="376" spans="14:14" x14ac:dyDescent="0.25">
      <c r="N376" s="8"/>
    </row>
    <row r="377" spans="14:14" x14ac:dyDescent="0.25">
      <c r="N377" s="8"/>
    </row>
    <row r="378" spans="14:14" x14ac:dyDescent="0.25">
      <c r="N378" s="8"/>
    </row>
    <row r="379" spans="14:14" x14ac:dyDescent="0.25">
      <c r="N379" s="8"/>
    </row>
    <row r="380" spans="14:14" x14ac:dyDescent="0.25">
      <c r="N380" s="8"/>
    </row>
    <row r="381" spans="14:14" x14ac:dyDescent="0.25">
      <c r="N381" s="8"/>
    </row>
    <row r="382" spans="14:14" x14ac:dyDescent="0.25">
      <c r="N382" s="8"/>
    </row>
    <row r="383" spans="14:14" x14ac:dyDescent="0.25">
      <c r="N383" s="8"/>
    </row>
    <row r="384" spans="14:14" x14ac:dyDescent="0.25">
      <c r="N384" s="8"/>
    </row>
    <row r="385" spans="14:14" x14ac:dyDescent="0.25">
      <c r="N385" s="8"/>
    </row>
    <row r="386" spans="14:14" x14ac:dyDescent="0.25">
      <c r="N386" s="8"/>
    </row>
    <row r="387" spans="14:14" x14ac:dyDescent="0.25">
      <c r="N387" s="8"/>
    </row>
    <row r="388" spans="14:14" x14ac:dyDescent="0.25">
      <c r="N388" s="8"/>
    </row>
    <row r="389" spans="14:14" x14ac:dyDescent="0.25">
      <c r="N389" s="8"/>
    </row>
    <row r="390" spans="14:14" x14ac:dyDescent="0.25">
      <c r="N390" s="8"/>
    </row>
    <row r="391" spans="14:14" x14ac:dyDescent="0.25">
      <c r="N391" s="8"/>
    </row>
    <row r="392" spans="14:14" x14ac:dyDescent="0.25">
      <c r="N392" s="8"/>
    </row>
    <row r="393" spans="14:14" x14ac:dyDescent="0.25">
      <c r="N393" s="8"/>
    </row>
    <row r="394" spans="14:14" x14ac:dyDescent="0.25">
      <c r="N394" s="8"/>
    </row>
    <row r="395" spans="14:14" x14ac:dyDescent="0.25">
      <c r="N395" s="8"/>
    </row>
    <row r="396" spans="14:14" x14ac:dyDescent="0.25">
      <c r="N396" s="8"/>
    </row>
    <row r="397" spans="14:14" x14ac:dyDescent="0.25">
      <c r="N397" s="8"/>
    </row>
    <row r="398" spans="14:14" x14ac:dyDescent="0.25">
      <c r="N398" s="8"/>
    </row>
    <row r="399" spans="14:14" x14ac:dyDescent="0.25">
      <c r="N399" s="8"/>
    </row>
    <row r="400" spans="14:14" x14ac:dyDescent="0.25">
      <c r="N400" s="8"/>
    </row>
    <row r="401" spans="14:14" x14ac:dyDescent="0.25">
      <c r="N401" s="8"/>
    </row>
    <row r="402" spans="14:14" x14ac:dyDescent="0.25">
      <c r="N402" s="8"/>
    </row>
    <row r="403" spans="14:14" x14ac:dyDescent="0.25">
      <c r="N403" s="8"/>
    </row>
    <row r="404" spans="14:14" x14ac:dyDescent="0.25">
      <c r="N404" s="8"/>
    </row>
    <row r="405" spans="14:14" x14ac:dyDescent="0.25">
      <c r="N405" s="8"/>
    </row>
    <row r="406" spans="14:14" x14ac:dyDescent="0.25">
      <c r="N406" s="8"/>
    </row>
    <row r="407" spans="14:14" x14ac:dyDescent="0.25">
      <c r="N407" s="8"/>
    </row>
    <row r="408" spans="14:14" x14ac:dyDescent="0.25">
      <c r="N408" s="8"/>
    </row>
    <row r="409" spans="14:14" x14ac:dyDescent="0.25">
      <c r="N409" s="8"/>
    </row>
    <row r="410" spans="14:14" x14ac:dyDescent="0.25">
      <c r="N410" s="8"/>
    </row>
    <row r="411" spans="14:14" x14ac:dyDescent="0.25">
      <c r="N411" s="8"/>
    </row>
    <row r="412" spans="14:14" x14ac:dyDescent="0.25">
      <c r="N412" s="8"/>
    </row>
    <row r="413" spans="14:14" x14ac:dyDescent="0.25">
      <c r="N413" s="8"/>
    </row>
    <row r="414" spans="14:14" x14ac:dyDescent="0.25">
      <c r="N414" s="8"/>
    </row>
    <row r="415" spans="14:14" x14ac:dyDescent="0.25">
      <c r="N415" s="8"/>
    </row>
    <row r="416" spans="14:14" x14ac:dyDescent="0.25">
      <c r="N416" s="8"/>
    </row>
    <row r="417" spans="14:14" x14ac:dyDescent="0.25">
      <c r="N417" s="8"/>
    </row>
    <row r="418" spans="14:14" x14ac:dyDescent="0.25">
      <c r="N418" s="8"/>
    </row>
    <row r="419" spans="14:14" x14ac:dyDescent="0.25">
      <c r="N419" s="8"/>
    </row>
    <row r="420" spans="14:14" x14ac:dyDescent="0.25">
      <c r="N420" s="8"/>
    </row>
    <row r="421" spans="14:14" x14ac:dyDescent="0.25">
      <c r="N421" s="8"/>
    </row>
    <row r="422" spans="14:14" x14ac:dyDescent="0.25">
      <c r="N422" s="8"/>
    </row>
    <row r="423" spans="14:14" x14ac:dyDescent="0.25">
      <c r="N423" s="8"/>
    </row>
    <row r="424" spans="14:14" x14ac:dyDescent="0.25">
      <c r="N424" s="8"/>
    </row>
    <row r="425" spans="14:14" x14ac:dyDescent="0.25">
      <c r="N425" s="8"/>
    </row>
    <row r="426" spans="14:14" x14ac:dyDescent="0.25">
      <c r="N426" s="8"/>
    </row>
    <row r="427" spans="14:14" x14ac:dyDescent="0.25">
      <c r="N427" s="8"/>
    </row>
    <row r="428" spans="14:14" x14ac:dyDescent="0.25">
      <c r="N428" s="8"/>
    </row>
    <row r="429" spans="14:14" x14ac:dyDescent="0.25">
      <c r="N429" s="8"/>
    </row>
    <row r="430" spans="14:14" x14ac:dyDescent="0.25">
      <c r="N430" s="8"/>
    </row>
    <row r="431" spans="14:14" x14ac:dyDescent="0.25">
      <c r="N431" s="8"/>
    </row>
    <row r="432" spans="14:14" x14ac:dyDescent="0.25">
      <c r="N432" s="8"/>
    </row>
    <row r="433" spans="14:14" x14ac:dyDescent="0.25">
      <c r="N433" s="8"/>
    </row>
    <row r="434" spans="14:14" x14ac:dyDescent="0.25">
      <c r="N434" s="8"/>
    </row>
    <row r="435" spans="14:14" x14ac:dyDescent="0.25">
      <c r="N435" s="8"/>
    </row>
    <row r="436" spans="14:14" x14ac:dyDescent="0.25">
      <c r="N436" s="8"/>
    </row>
    <row r="437" spans="14:14" x14ac:dyDescent="0.25">
      <c r="N437" s="8"/>
    </row>
    <row r="438" spans="14:14" x14ac:dyDescent="0.25">
      <c r="N438" s="8"/>
    </row>
    <row r="439" spans="14:14" x14ac:dyDescent="0.25">
      <c r="N439" s="8"/>
    </row>
    <row r="440" spans="14:14" x14ac:dyDescent="0.25">
      <c r="N440" s="8"/>
    </row>
    <row r="441" spans="14:14" x14ac:dyDescent="0.25">
      <c r="N441" s="8"/>
    </row>
    <row r="442" spans="14:14" x14ac:dyDescent="0.25">
      <c r="N442" s="8"/>
    </row>
    <row r="443" spans="14:14" x14ac:dyDescent="0.25">
      <c r="N443" s="8"/>
    </row>
    <row r="444" spans="14:14" x14ac:dyDescent="0.25">
      <c r="N444" s="8"/>
    </row>
    <row r="445" spans="14:14" x14ac:dyDescent="0.25">
      <c r="N445" s="8"/>
    </row>
    <row r="446" spans="14:14" x14ac:dyDescent="0.25">
      <c r="N446" s="8"/>
    </row>
    <row r="447" spans="14:14" x14ac:dyDescent="0.25">
      <c r="N447" s="8"/>
    </row>
    <row r="448" spans="14:14" x14ac:dyDescent="0.25">
      <c r="N448" s="8"/>
    </row>
    <row r="449" spans="14:14" x14ac:dyDescent="0.25">
      <c r="N449" s="8"/>
    </row>
    <row r="450" spans="14:14" x14ac:dyDescent="0.25">
      <c r="N450" s="8"/>
    </row>
    <row r="451" spans="14:14" x14ac:dyDescent="0.25">
      <c r="N451" s="8"/>
    </row>
    <row r="452" spans="14:14" x14ac:dyDescent="0.25">
      <c r="N452" s="8"/>
    </row>
    <row r="453" spans="14:14" x14ac:dyDescent="0.25">
      <c r="N453" s="8"/>
    </row>
    <row r="454" spans="14:14" x14ac:dyDescent="0.25">
      <c r="N454" s="8"/>
    </row>
    <row r="455" spans="14:14" x14ac:dyDescent="0.25">
      <c r="N455" s="8"/>
    </row>
    <row r="456" spans="14:14" x14ac:dyDescent="0.25">
      <c r="N456" s="8"/>
    </row>
    <row r="457" spans="14:14" x14ac:dyDescent="0.25">
      <c r="N457" s="8"/>
    </row>
    <row r="458" spans="14:14" x14ac:dyDescent="0.25">
      <c r="N458" s="8"/>
    </row>
    <row r="459" spans="14:14" x14ac:dyDescent="0.25">
      <c r="N459" s="8"/>
    </row>
    <row r="460" spans="14:14" x14ac:dyDescent="0.25">
      <c r="N460" s="8"/>
    </row>
    <row r="461" spans="14:14" x14ac:dyDescent="0.25">
      <c r="N461" s="8"/>
    </row>
    <row r="462" spans="14:14" x14ac:dyDescent="0.25">
      <c r="N462" s="8"/>
    </row>
    <row r="463" spans="14:14" x14ac:dyDescent="0.25">
      <c r="N463" s="8"/>
    </row>
    <row r="464" spans="14:14" x14ac:dyDescent="0.25">
      <c r="N464" s="8"/>
    </row>
    <row r="465" spans="14:14" x14ac:dyDescent="0.25">
      <c r="N465" s="8"/>
    </row>
    <row r="466" spans="14:14" x14ac:dyDescent="0.25">
      <c r="N466" s="8"/>
    </row>
    <row r="467" spans="14:14" x14ac:dyDescent="0.25">
      <c r="N467" s="8"/>
    </row>
    <row r="468" spans="14:14" x14ac:dyDescent="0.25">
      <c r="N468" s="8"/>
    </row>
    <row r="469" spans="14:14" x14ac:dyDescent="0.25">
      <c r="N469" s="8"/>
    </row>
    <row r="470" spans="14:14" x14ac:dyDescent="0.25">
      <c r="N470" s="8"/>
    </row>
    <row r="471" spans="14:14" x14ac:dyDescent="0.25">
      <c r="N471" s="8"/>
    </row>
    <row r="472" spans="14:14" x14ac:dyDescent="0.25">
      <c r="N472" s="8"/>
    </row>
    <row r="473" spans="14:14" x14ac:dyDescent="0.25">
      <c r="N473" s="8"/>
    </row>
    <row r="474" spans="14:14" x14ac:dyDescent="0.25">
      <c r="N474" s="8"/>
    </row>
    <row r="475" spans="14:14" x14ac:dyDescent="0.25">
      <c r="N475" s="8"/>
    </row>
    <row r="476" spans="14:14" x14ac:dyDescent="0.25">
      <c r="N476" s="8"/>
    </row>
    <row r="477" spans="14:14" x14ac:dyDescent="0.25">
      <c r="N477" s="8"/>
    </row>
    <row r="478" spans="14:14" x14ac:dyDescent="0.25">
      <c r="N478" s="8"/>
    </row>
    <row r="479" spans="14:14" x14ac:dyDescent="0.25">
      <c r="N479" s="8"/>
    </row>
    <row r="480" spans="14:14" x14ac:dyDescent="0.25">
      <c r="N480" s="8"/>
    </row>
    <row r="481" spans="14:14" x14ac:dyDescent="0.25">
      <c r="N481" s="8"/>
    </row>
    <row r="482" spans="14:14" x14ac:dyDescent="0.25">
      <c r="N482" s="8"/>
    </row>
    <row r="483" spans="14:14" x14ac:dyDescent="0.25">
      <c r="N483" s="8"/>
    </row>
    <row r="484" spans="14:14" x14ac:dyDescent="0.25">
      <c r="N484" s="8"/>
    </row>
    <row r="485" spans="14:14" x14ac:dyDescent="0.25">
      <c r="N485" s="8"/>
    </row>
    <row r="486" spans="14:14" x14ac:dyDescent="0.25">
      <c r="N486" s="8"/>
    </row>
    <row r="487" spans="14:14" x14ac:dyDescent="0.25">
      <c r="N487" s="8"/>
    </row>
    <row r="488" spans="14:14" x14ac:dyDescent="0.25">
      <c r="N488" s="8"/>
    </row>
    <row r="489" spans="14:14" x14ac:dyDescent="0.25">
      <c r="N489" s="8"/>
    </row>
    <row r="490" spans="14:14" x14ac:dyDescent="0.25">
      <c r="N490" s="8"/>
    </row>
    <row r="491" spans="14:14" x14ac:dyDescent="0.25">
      <c r="N491" s="8"/>
    </row>
    <row r="492" spans="14:14" x14ac:dyDescent="0.25">
      <c r="N492" s="8"/>
    </row>
    <row r="493" spans="14:14" x14ac:dyDescent="0.25">
      <c r="N493" s="8"/>
    </row>
    <row r="494" spans="14:14" x14ac:dyDescent="0.25">
      <c r="N494" s="8"/>
    </row>
    <row r="495" spans="14:14" x14ac:dyDescent="0.25">
      <c r="N495" s="8"/>
    </row>
    <row r="496" spans="14:14" x14ac:dyDescent="0.25">
      <c r="N496" s="8"/>
    </row>
    <row r="497" spans="14:14" x14ac:dyDescent="0.25">
      <c r="N497" s="8"/>
    </row>
    <row r="498" spans="14:14" x14ac:dyDescent="0.25">
      <c r="N498" s="8"/>
    </row>
    <row r="499" spans="14:14" x14ac:dyDescent="0.25">
      <c r="N499" s="8"/>
    </row>
    <row r="500" spans="14:14" x14ac:dyDescent="0.25">
      <c r="N500" s="8"/>
    </row>
    <row r="501" spans="14:14" x14ac:dyDescent="0.25">
      <c r="N501" s="8"/>
    </row>
    <row r="502" spans="14:14" x14ac:dyDescent="0.25">
      <c r="N502" s="8"/>
    </row>
    <row r="503" spans="14:14" x14ac:dyDescent="0.25">
      <c r="N503" s="8"/>
    </row>
    <row r="504" spans="14:14" x14ac:dyDescent="0.25">
      <c r="N504" s="8"/>
    </row>
    <row r="505" spans="14:14" x14ac:dyDescent="0.25">
      <c r="N505" s="8"/>
    </row>
    <row r="506" spans="14:14" x14ac:dyDescent="0.25">
      <c r="N506" s="8"/>
    </row>
    <row r="507" spans="14:14" x14ac:dyDescent="0.25">
      <c r="N507" s="8"/>
    </row>
    <row r="508" spans="14:14" x14ac:dyDescent="0.25">
      <c r="N508" s="8"/>
    </row>
    <row r="509" spans="14:14" x14ac:dyDescent="0.25">
      <c r="N509" s="8"/>
    </row>
    <row r="510" spans="14:14" x14ac:dyDescent="0.25">
      <c r="N510" s="8"/>
    </row>
    <row r="511" spans="14:14" x14ac:dyDescent="0.25">
      <c r="N511" s="8"/>
    </row>
    <row r="512" spans="14:14" x14ac:dyDescent="0.25">
      <c r="N512" s="8"/>
    </row>
    <row r="513" spans="14:14" x14ac:dyDescent="0.25">
      <c r="N513" s="8"/>
    </row>
    <row r="514" spans="14:14" x14ac:dyDescent="0.25">
      <c r="N514" s="8"/>
    </row>
    <row r="515" spans="14:14" x14ac:dyDescent="0.25">
      <c r="N515" s="8"/>
    </row>
    <row r="516" spans="14:14" x14ac:dyDescent="0.25">
      <c r="N516" s="8"/>
    </row>
    <row r="517" spans="14:14" x14ac:dyDescent="0.25">
      <c r="N517" s="8"/>
    </row>
    <row r="518" spans="14:14" x14ac:dyDescent="0.25">
      <c r="N518" s="8"/>
    </row>
    <row r="519" spans="14:14" x14ac:dyDescent="0.25">
      <c r="N519" s="8"/>
    </row>
    <row r="520" spans="14:14" x14ac:dyDescent="0.25">
      <c r="N520" s="8"/>
    </row>
    <row r="521" spans="14:14" x14ac:dyDescent="0.25">
      <c r="N521" s="8"/>
    </row>
    <row r="522" spans="14:14" x14ac:dyDescent="0.25">
      <c r="N522" s="8"/>
    </row>
    <row r="523" spans="14:14" x14ac:dyDescent="0.25">
      <c r="N523" s="8"/>
    </row>
    <row r="524" spans="14:14" x14ac:dyDescent="0.25">
      <c r="N524" s="8"/>
    </row>
    <row r="525" spans="14:14" x14ac:dyDescent="0.25">
      <c r="N525" s="8"/>
    </row>
    <row r="526" spans="14:14" x14ac:dyDescent="0.25">
      <c r="N526" s="8"/>
    </row>
    <row r="527" spans="14:14" x14ac:dyDescent="0.25">
      <c r="N527" s="8"/>
    </row>
    <row r="528" spans="14:14" x14ac:dyDescent="0.25">
      <c r="N528" s="8"/>
    </row>
    <row r="529" spans="14:14" x14ac:dyDescent="0.25">
      <c r="N529" s="8"/>
    </row>
    <row r="530" spans="14:14" x14ac:dyDescent="0.25">
      <c r="N530" s="8"/>
    </row>
    <row r="531" spans="14:14" x14ac:dyDescent="0.25">
      <c r="N531" s="8"/>
    </row>
    <row r="532" spans="14:14" x14ac:dyDescent="0.25">
      <c r="N532" s="8"/>
    </row>
    <row r="533" spans="14:14" x14ac:dyDescent="0.25">
      <c r="N533" s="8"/>
    </row>
    <row r="534" spans="14:14" x14ac:dyDescent="0.25">
      <c r="N534" s="8"/>
    </row>
    <row r="535" spans="14:14" x14ac:dyDescent="0.25">
      <c r="N535" s="8"/>
    </row>
    <row r="536" spans="14:14" x14ac:dyDescent="0.25">
      <c r="N536" s="8"/>
    </row>
    <row r="537" spans="14:14" x14ac:dyDescent="0.25">
      <c r="N537" s="8"/>
    </row>
    <row r="538" spans="14:14" x14ac:dyDescent="0.25">
      <c r="N538" s="8"/>
    </row>
    <row r="539" spans="14:14" x14ac:dyDescent="0.25">
      <c r="N539" s="8"/>
    </row>
    <row r="540" spans="14:14" x14ac:dyDescent="0.25">
      <c r="N540" s="8"/>
    </row>
    <row r="541" spans="14:14" x14ac:dyDescent="0.25">
      <c r="N541" s="8"/>
    </row>
    <row r="542" spans="14:14" x14ac:dyDescent="0.25">
      <c r="N542" s="8"/>
    </row>
    <row r="543" spans="14:14" x14ac:dyDescent="0.25">
      <c r="N543" s="8"/>
    </row>
    <row r="544" spans="14:14" x14ac:dyDescent="0.25">
      <c r="N544" s="8"/>
    </row>
    <row r="545" spans="14:14" x14ac:dyDescent="0.25">
      <c r="N545" s="8"/>
    </row>
    <row r="546" spans="14:14" x14ac:dyDescent="0.25">
      <c r="N546" s="8"/>
    </row>
    <row r="547" spans="14:14" x14ac:dyDescent="0.25">
      <c r="N547" s="8"/>
    </row>
    <row r="548" spans="14:14" x14ac:dyDescent="0.25">
      <c r="N548" s="8"/>
    </row>
    <row r="549" spans="14:14" x14ac:dyDescent="0.25">
      <c r="N549" s="8"/>
    </row>
    <row r="550" spans="14:14" x14ac:dyDescent="0.25">
      <c r="N550" s="8"/>
    </row>
    <row r="551" spans="14:14" x14ac:dyDescent="0.25">
      <c r="N551" s="8"/>
    </row>
    <row r="552" spans="14:14" x14ac:dyDescent="0.25">
      <c r="N552" s="8"/>
    </row>
    <row r="553" spans="14:14" x14ac:dyDescent="0.25">
      <c r="N553" s="8"/>
    </row>
    <row r="554" spans="14:14" x14ac:dyDescent="0.25">
      <c r="N554" s="8"/>
    </row>
    <row r="555" spans="14:14" x14ac:dyDescent="0.25">
      <c r="N555" s="8"/>
    </row>
    <row r="556" spans="14:14" x14ac:dyDescent="0.25">
      <c r="N556" s="8"/>
    </row>
    <row r="557" spans="14:14" x14ac:dyDescent="0.25">
      <c r="N557" s="8"/>
    </row>
    <row r="558" spans="14:14" x14ac:dyDescent="0.25">
      <c r="N558" s="8"/>
    </row>
    <row r="559" spans="14:14" x14ac:dyDescent="0.25">
      <c r="N559" s="8"/>
    </row>
    <row r="560" spans="14:14" x14ac:dyDescent="0.25">
      <c r="N560" s="8"/>
    </row>
    <row r="561" spans="14:14" x14ac:dyDescent="0.25">
      <c r="N561" s="8"/>
    </row>
    <row r="562" spans="14:14" x14ac:dyDescent="0.25">
      <c r="N562" s="8"/>
    </row>
    <row r="563" spans="14:14" x14ac:dyDescent="0.25">
      <c r="N563" s="8"/>
    </row>
    <row r="564" spans="14:14" x14ac:dyDescent="0.25">
      <c r="N564" s="8"/>
    </row>
    <row r="565" spans="14:14" x14ac:dyDescent="0.25">
      <c r="N565" s="8"/>
    </row>
    <row r="566" spans="14:14" x14ac:dyDescent="0.25">
      <c r="N566" s="8"/>
    </row>
    <row r="567" spans="14:14" x14ac:dyDescent="0.25">
      <c r="N567" s="8"/>
    </row>
    <row r="568" spans="14:14" x14ac:dyDescent="0.25">
      <c r="N568" s="8"/>
    </row>
    <row r="569" spans="14:14" x14ac:dyDescent="0.25">
      <c r="N569" s="8"/>
    </row>
    <row r="570" spans="14:14" x14ac:dyDescent="0.25">
      <c r="N570" s="8"/>
    </row>
    <row r="571" spans="14:14" x14ac:dyDescent="0.25">
      <c r="N571" s="8"/>
    </row>
    <row r="572" spans="14:14" x14ac:dyDescent="0.25">
      <c r="N572" s="8"/>
    </row>
    <row r="573" spans="14:14" x14ac:dyDescent="0.25">
      <c r="N573" s="8"/>
    </row>
    <row r="574" spans="14:14" x14ac:dyDescent="0.25">
      <c r="N574" s="8"/>
    </row>
    <row r="575" spans="14:14" x14ac:dyDescent="0.25">
      <c r="N575" s="8"/>
    </row>
    <row r="576" spans="14:14" x14ac:dyDescent="0.25">
      <c r="N576" s="8"/>
    </row>
    <row r="577" spans="14:14" x14ac:dyDescent="0.25">
      <c r="N577" s="8"/>
    </row>
    <row r="578" spans="14:14" x14ac:dyDescent="0.25">
      <c r="N578" s="8"/>
    </row>
    <row r="579" spans="14:14" x14ac:dyDescent="0.25">
      <c r="N579" s="8"/>
    </row>
    <row r="580" spans="14:14" x14ac:dyDescent="0.25">
      <c r="N580" s="8"/>
    </row>
    <row r="581" spans="14:14" x14ac:dyDescent="0.25">
      <c r="N581" s="8"/>
    </row>
    <row r="582" spans="14:14" x14ac:dyDescent="0.25">
      <c r="N582" s="8"/>
    </row>
    <row r="583" spans="14:14" x14ac:dyDescent="0.25">
      <c r="N583" s="8"/>
    </row>
    <row r="584" spans="14:14" x14ac:dyDescent="0.25">
      <c r="N584" s="8"/>
    </row>
    <row r="585" spans="14:14" x14ac:dyDescent="0.25">
      <c r="N585" s="8"/>
    </row>
    <row r="586" spans="14:14" x14ac:dyDescent="0.25">
      <c r="N586" s="8"/>
    </row>
    <row r="587" spans="14:14" x14ac:dyDescent="0.25">
      <c r="N587" s="8"/>
    </row>
    <row r="588" spans="14:14" x14ac:dyDescent="0.25">
      <c r="N588" s="8"/>
    </row>
    <row r="589" spans="14:14" x14ac:dyDescent="0.25">
      <c r="N589" s="8"/>
    </row>
    <row r="590" spans="14:14" x14ac:dyDescent="0.25">
      <c r="N590" s="8"/>
    </row>
    <row r="591" spans="14:14" x14ac:dyDescent="0.25">
      <c r="N591" s="8"/>
    </row>
    <row r="592" spans="14:14" x14ac:dyDescent="0.25">
      <c r="N592" s="8"/>
    </row>
    <row r="593" spans="14:14" x14ac:dyDescent="0.25">
      <c r="N593" s="8"/>
    </row>
    <row r="594" spans="14:14" x14ac:dyDescent="0.25">
      <c r="N594" s="8"/>
    </row>
    <row r="595" spans="14:14" x14ac:dyDescent="0.25">
      <c r="N595" s="8"/>
    </row>
    <row r="596" spans="14:14" x14ac:dyDescent="0.25">
      <c r="N596" s="8"/>
    </row>
    <row r="597" spans="14:14" x14ac:dyDescent="0.25">
      <c r="N597" s="8"/>
    </row>
    <row r="598" spans="14:14" x14ac:dyDescent="0.25">
      <c r="N598" s="8"/>
    </row>
    <row r="599" spans="14:14" x14ac:dyDescent="0.25">
      <c r="N599" s="8"/>
    </row>
    <row r="600" spans="14:14" x14ac:dyDescent="0.25">
      <c r="N600" s="8"/>
    </row>
    <row r="601" spans="14:14" x14ac:dyDescent="0.25">
      <c r="N601" s="8"/>
    </row>
    <row r="602" spans="14:14" x14ac:dyDescent="0.25">
      <c r="N602" s="8"/>
    </row>
    <row r="603" spans="14:14" x14ac:dyDescent="0.25">
      <c r="N603" s="8"/>
    </row>
    <row r="604" spans="14:14" x14ac:dyDescent="0.25">
      <c r="N604" s="8"/>
    </row>
    <row r="605" spans="14:14" x14ac:dyDescent="0.25">
      <c r="N605" s="8"/>
    </row>
    <row r="606" spans="14:14" x14ac:dyDescent="0.25">
      <c r="N606" s="8"/>
    </row>
    <row r="607" spans="14:14" x14ac:dyDescent="0.25">
      <c r="N607" s="8"/>
    </row>
    <row r="608" spans="14:14" x14ac:dyDescent="0.25">
      <c r="N608" s="8"/>
    </row>
    <row r="609" spans="14:14" x14ac:dyDescent="0.25">
      <c r="N609" s="8"/>
    </row>
    <row r="610" spans="14:14" x14ac:dyDescent="0.25">
      <c r="N610" s="8"/>
    </row>
    <row r="611" spans="14:14" x14ac:dyDescent="0.25">
      <c r="N611" s="8"/>
    </row>
    <row r="612" spans="14:14" x14ac:dyDescent="0.25">
      <c r="N612" s="8"/>
    </row>
    <row r="613" spans="14:14" x14ac:dyDescent="0.25">
      <c r="N613" s="8"/>
    </row>
    <row r="614" spans="14:14" x14ac:dyDescent="0.25">
      <c r="N614" s="8"/>
    </row>
    <row r="615" spans="14:14" x14ac:dyDescent="0.25">
      <c r="N615" s="8"/>
    </row>
    <row r="616" spans="14:14" x14ac:dyDescent="0.25">
      <c r="N616" s="8"/>
    </row>
    <row r="617" spans="14:14" x14ac:dyDescent="0.25">
      <c r="N617" s="8"/>
    </row>
    <row r="618" spans="14:14" x14ac:dyDescent="0.25">
      <c r="N618" s="8"/>
    </row>
    <row r="619" spans="14:14" x14ac:dyDescent="0.25">
      <c r="N619" s="8"/>
    </row>
    <row r="620" spans="14:14" x14ac:dyDescent="0.25">
      <c r="N620" s="8"/>
    </row>
    <row r="621" spans="14:14" x14ac:dyDescent="0.25">
      <c r="N621" s="8"/>
    </row>
    <row r="622" spans="14:14" x14ac:dyDescent="0.25">
      <c r="N622" s="8"/>
    </row>
    <row r="623" spans="14:14" x14ac:dyDescent="0.25">
      <c r="N623" s="8"/>
    </row>
    <row r="624" spans="14:14" x14ac:dyDescent="0.25">
      <c r="N624" s="8"/>
    </row>
    <row r="625" spans="14:14" x14ac:dyDescent="0.25">
      <c r="N625" s="8"/>
    </row>
    <row r="626" spans="14:14" x14ac:dyDescent="0.25">
      <c r="N626" s="8"/>
    </row>
    <row r="627" spans="14:14" x14ac:dyDescent="0.25">
      <c r="N627" s="8"/>
    </row>
    <row r="628" spans="14:14" x14ac:dyDescent="0.25">
      <c r="N628" s="8"/>
    </row>
    <row r="629" spans="14:14" x14ac:dyDescent="0.25">
      <c r="N629" s="8"/>
    </row>
    <row r="630" spans="14:14" x14ac:dyDescent="0.25">
      <c r="N630" s="8"/>
    </row>
    <row r="631" spans="14:14" x14ac:dyDescent="0.25">
      <c r="N631" s="8"/>
    </row>
    <row r="632" spans="14:14" x14ac:dyDescent="0.25">
      <c r="N632" s="8"/>
    </row>
    <row r="633" spans="14:14" x14ac:dyDescent="0.25">
      <c r="N633" s="8"/>
    </row>
    <row r="634" spans="14:14" x14ac:dyDescent="0.25">
      <c r="N634" s="8"/>
    </row>
    <row r="635" spans="14:14" x14ac:dyDescent="0.25">
      <c r="N635" s="8"/>
    </row>
    <row r="636" spans="14:14" x14ac:dyDescent="0.25">
      <c r="N636" s="8"/>
    </row>
    <row r="637" spans="14:14" x14ac:dyDescent="0.25">
      <c r="N637" s="8"/>
    </row>
    <row r="638" spans="14:14" x14ac:dyDescent="0.25">
      <c r="N638" s="8"/>
    </row>
    <row r="639" spans="14:14" x14ac:dyDescent="0.25">
      <c r="N639" s="8"/>
    </row>
    <row r="640" spans="14:14" x14ac:dyDescent="0.25">
      <c r="N640" s="8"/>
    </row>
    <row r="641" spans="14:14" x14ac:dyDescent="0.25">
      <c r="N641" s="8"/>
    </row>
    <row r="642" spans="14:14" x14ac:dyDescent="0.25">
      <c r="N642" s="8"/>
    </row>
    <row r="643" spans="14:14" x14ac:dyDescent="0.25">
      <c r="N643" s="8"/>
    </row>
    <row r="644" spans="14:14" x14ac:dyDescent="0.25">
      <c r="N644" s="8"/>
    </row>
    <row r="645" spans="14:14" x14ac:dyDescent="0.25">
      <c r="N645" s="8"/>
    </row>
    <row r="646" spans="14:14" x14ac:dyDescent="0.25">
      <c r="N646" s="8"/>
    </row>
    <row r="647" spans="14:14" x14ac:dyDescent="0.25">
      <c r="N647" s="8"/>
    </row>
    <row r="648" spans="14:14" x14ac:dyDescent="0.25">
      <c r="N648" s="8"/>
    </row>
    <row r="649" spans="14:14" x14ac:dyDescent="0.25">
      <c r="N649" s="8"/>
    </row>
    <row r="650" spans="14:14" x14ac:dyDescent="0.25">
      <c r="N650" s="8"/>
    </row>
    <row r="651" spans="14:14" x14ac:dyDescent="0.25">
      <c r="N651" s="8"/>
    </row>
    <row r="652" spans="14:14" x14ac:dyDescent="0.25">
      <c r="N652" s="8"/>
    </row>
    <row r="653" spans="14:14" x14ac:dyDescent="0.25">
      <c r="N653" s="8"/>
    </row>
    <row r="654" spans="14:14" x14ac:dyDescent="0.25">
      <c r="N654" s="8"/>
    </row>
    <row r="655" spans="14:14" x14ac:dyDescent="0.25">
      <c r="N655" s="8"/>
    </row>
    <row r="656" spans="14:14" x14ac:dyDescent="0.25">
      <c r="N656" s="8"/>
    </row>
    <row r="657" spans="14:14" x14ac:dyDescent="0.25">
      <c r="N657" s="8"/>
    </row>
    <row r="658" spans="14:14" x14ac:dyDescent="0.25">
      <c r="N658" s="8"/>
    </row>
    <row r="659" spans="14:14" x14ac:dyDescent="0.25">
      <c r="N659" s="8"/>
    </row>
    <row r="660" spans="14:14" x14ac:dyDescent="0.25">
      <c r="N660" s="8"/>
    </row>
    <row r="661" spans="14:14" x14ac:dyDescent="0.25">
      <c r="N661" s="8"/>
    </row>
    <row r="662" spans="14:14" x14ac:dyDescent="0.25">
      <c r="N662" s="8"/>
    </row>
    <row r="663" spans="14:14" x14ac:dyDescent="0.25">
      <c r="N663" s="8"/>
    </row>
    <row r="664" spans="14:14" x14ac:dyDescent="0.25">
      <c r="N664" s="8"/>
    </row>
    <row r="665" spans="14:14" x14ac:dyDescent="0.25">
      <c r="N665" s="8"/>
    </row>
    <row r="666" spans="14:14" x14ac:dyDescent="0.25">
      <c r="N666" s="8"/>
    </row>
    <row r="667" spans="14:14" x14ac:dyDescent="0.25">
      <c r="N667" s="8"/>
    </row>
    <row r="668" spans="14:14" x14ac:dyDescent="0.25">
      <c r="N668" s="8"/>
    </row>
    <row r="669" spans="14:14" x14ac:dyDescent="0.25">
      <c r="N669" s="8"/>
    </row>
    <row r="670" spans="14:14" x14ac:dyDescent="0.25">
      <c r="N670" s="8"/>
    </row>
    <row r="671" spans="14:14" x14ac:dyDescent="0.25">
      <c r="N671" s="8"/>
    </row>
    <row r="672" spans="14:14" x14ac:dyDescent="0.25">
      <c r="N672" s="8"/>
    </row>
    <row r="673" spans="14:14" x14ac:dyDescent="0.25">
      <c r="N673" s="8"/>
    </row>
    <row r="674" spans="14:14" x14ac:dyDescent="0.25">
      <c r="N674" s="8"/>
    </row>
    <row r="675" spans="14:14" x14ac:dyDescent="0.25">
      <c r="N675" s="8"/>
    </row>
    <row r="676" spans="14:14" x14ac:dyDescent="0.25">
      <c r="N676" s="8"/>
    </row>
    <row r="677" spans="14:14" x14ac:dyDescent="0.25">
      <c r="N677" s="8"/>
    </row>
    <row r="678" spans="14:14" x14ac:dyDescent="0.25">
      <c r="N678" s="8"/>
    </row>
    <row r="679" spans="14:14" x14ac:dyDescent="0.25">
      <c r="N679" s="8"/>
    </row>
    <row r="680" spans="14:14" x14ac:dyDescent="0.25">
      <c r="N680" s="8"/>
    </row>
    <row r="681" spans="14:14" x14ac:dyDescent="0.25">
      <c r="N681" s="8"/>
    </row>
    <row r="682" spans="14:14" x14ac:dyDescent="0.25">
      <c r="N682" s="8"/>
    </row>
    <row r="683" spans="14:14" x14ac:dyDescent="0.25">
      <c r="N683" s="8"/>
    </row>
    <row r="684" spans="14:14" x14ac:dyDescent="0.25">
      <c r="N684" s="8"/>
    </row>
    <row r="685" spans="14:14" x14ac:dyDescent="0.25">
      <c r="N685" s="8"/>
    </row>
    <row r="686" spans="14:14" x14ac:dyDescent="0.25">
      <c r="N686" s="8"/>
    </row>
    <row r="687" spans="14:14" x14ac:dyDescent="0.25">
      <c r="N687" s="8"/>
    </row>
    <row r="688" spans="14:14" x14ac:dyDescent="0.25">
      <c r="N688" s="8"/>
    </row>
    <row r="689" spans="14:14" x14ac:dyDescent="0.25">
      <c r="N689" s="8"/>
    </row>
    <row r="690" spans="14:14" x14ac:dyDescent="0.25">
      <c r="N690" s="8"/>
    </row>
    <row r="691" spans="14:14" x14ac:dyDescent="0.25">
      <c r="N691" s="8"/>
    </row>
    <row r="692" spans="14:14" x14ac:dyDescent="0.25">
      <c r="N692" s="8"/>
    </row>
    <row r="693" spans="14:14" x14ac:dyDescent="0.25">
      <c r="N693" s="8"/>
    </row>
    <row r="694" spans="14:14" x14ac:dyDescent="0.25">
      <c r="N694" s="8"/>
    </row>
    <row r="695" spans="14:14" x14ac:dyDescent="0.25">
      <c r="N695" s="8"/>
    </row>
    <row r="696" spans="14:14" x14ac:dyDescent="0.25">
      <c r="N696" s="8"/>
    </row>
    <row r="697" spans="14:14" x14ac:dyDescent="0.25">
      <c r="N697" s="8"/>
    </row>
    <row r="698" spans="14:14" x14ac:dyDescent="0.25">
      <c r="N698" s="8"/>
    </row>
    <row r="699" spans="14:14" x14ac:dyDescent="0.25">
      <c r="N699" s="8"/>
    </row>
    <row r="700" spans="14:14" x14ac:dyDescent="0.25">
      <c r="N700" s="8"/>
    </row>
    <row r="701" spans="14:14" x14ac:dyDescent="0.25">
      <c r="N701" s="8"/>
    </row>
    <row r="702" spans="14:14" x14ac:dyDescent="0.25">
      <c r="N702" s="8"/>
    </row>
    <row r="703" spans="14:14" x14ac:dyDescent="0.25">
      <c r="N703" s="8"/>
    </row>
    <row r="704" spans="14:14" x14ac:dyDescent="0.25">
      <c r="N704" s="8"/>
    </row>
    <row r="705" spans="14:14" x14ac:dyDescent="0.25">
      <c r="N705" s="8"/>
    </row>
    <row r="706" spans="14:14" x14ac:dyDescent="0.25">
      <c r="N706" s="8"/>
    </row>
    <row r="707" spans="14:14" x14ac:dyDescent="0.25">
      <c r="N707" s="8"/>
    </row>
    <row r="708" spans="14:14" x14ac:dyDescent="0.25">
      <c r="N708" s="8"/>
    </row>
    <row r="709" spans="14:14" x14ac:dyDescent="0.25">
      <c r="N709" s="8"/>
    </row>
    <row r="710" spans="14:14" x14ac:dyDescent="0.25">
      <c r="N710" s="8"/>
    </row>
    <row r="711" spans="14:14" x14ac:dyDescent="0.25">
      <c r="N711" s="8"/>
    </row>
    <row r="712" spans="14:14" x14ac:dyDescent="0.25">
      <c r="N712" s="8"/>
    </row>
    <row r="713" spans="14:14" x14ac:dyDescent="0.25">
      <c r="N713" s="8"/>
    </row>
    <row r="714" spans="14:14" x14ac:dyDescent="0.25">
      <c r="N714" s="8"/>
    </row>
    <row r="715" spans="14:14" x14ac:dyDescent="0.25">
      <c r="N715" s="8"/>
    </row>
    <row r="716" spans="14:14" x14ac:dyDescent="0.25">
      <c r="N716" s="8"/>
    </row>
    <row r="717" spans="14:14" x14ac:dyDescent="0.25">
      <c r="N717" s="8"/>
    </row>
    <row r="718" spans="14:14" x14ac:dyDescent="0.25">
      <c r="N718" s="8"/>
    </row>
    <row r="719" spans="14:14" x14ac:dyDescent="0.25">
      <c r="N719" s="8"/>
    </row>
    <row r="720" spans="14:14" x14ac:dyDescent="0.25">
      <c r="N720" s="8"/>
    </row>
    <row r="721" spans="14:14" x14ac:dyDescent="0.25">
      <c r="N721" s="8"/>
    </row>
    <row r="722" spans="14:14" x14ac:dyDescent="0.25">
      <c r="N722" s="8"/>
    </row>
    <row r="723" spans="14:14" x14ac:dyDescent="0.25">
      <c r="N723" s="8"/>
    </row>
    <row r="724" spans="14:14" x14ac:dyDescent="0.25">
      <c r="N724" s="8"/>
    </row>
    <row r="725" spans="14:14" x14ac:dyDescent="0.25">
      <c r="N725" s="8"/>
    </row>
    <row r="726" spans="14:14" x14ac:dyDescent="0.25">
      <c r="N726" s="8"/>
    </row>
    <row r="727" spans="14:14" x14ac:dyDescent="0.25">
      <c r="N727" s="8"/>
    </row>
    <row r="728" spans="14:14" x14ac:dyDescent="0.25">
      <c r="N728" s="8"/>
    </row>
    <row r="729" spans="14:14" x14ac:dyDescent="0.25">
      <c r="N729" s="8"/>
    </row>
    <row r="730" spans="14:14" x14ac:dyDescent="0.25">
      <c r="N730" s="8"/>
    </row>
    <row r="731" spans="14:14" x14ac:dyDescent="0.25">
      <c r="N731" s="8"/>
    </row>
    <row r="732" spans="14:14" x14ac:dyDescent="0.25">
      <c r="N732" s="8"/>
    </row>
    <row r="733" spans="14:14" x14ac:dyDescent="0.25">
      <c r="N733" s="8"/>
    </row>
    <row r="734" spans="14:14" x14ac:dyDescent="0.25">
      <c r="N734" s="8"/>
    </row>
    <row r="735" spans="14:14" x14ac:dyDescent="0.25">
      <c r="N735" s="8"/>
    </row>
    <row r="736" spans="14:14" x14ac:dyDescent="0.25">
      <c r="N736" s="8"/>
    </row>
    <row r="737" spans="14:14" x14ac:dyDescent="0.25">
      <c r="N737" s="8"/>
    </row>
    <row r="738" spans="14:14" x14ac:dyDescent="0.25">
      <c r="N738" s="8"/>
    </row>
    <row r="739" spans="14:14" x14ac:dyDescent="0.25">
      <c r="N739" s="8"/>
    </row>
    <row r="740" spans="14:14" x14ac:dyDescent="0.25">
      <c r="N740" s="8"/>
    </row>
    <row r="741" spans="14:14" x14ac:dyDescent="0.25">
      <c r="N741" s="8"/>
    </row>
    <row r="742" spans="14:14" x14ac:dyDescent="0.25">
      <c r="N742" s="8"/>
    </row>
    <row r="743" spans="14:14" x14ac:dyDescent="0.25">
      <c r="N743" s="8"/>
    </row>
    <row r="744" spans="14:14" x14ac:dyDescent="0.25">
      <c r="N744" s="8"/>
    </row>
    <row r="745" spans="14:14" x14ac:dyDescent="0.25">
      <c r="N745" s="8"/>
    </row>
    <row r="746" spans="14:14" x14ac:dyDescent="0.25">
      <c r="N746" s="8"/>
    </row>
    <row r="747" spans="14:14" x14ac:dyDescent="0.25">
      <c r="N747" s="8"/>
    </row>
    <row r="748" spans="14:14" x14ac:dyDescent="0.25">
      <c r="N748" s="8"/>
    </row>
    <row r="749" spans="14:14" x14ac:dyDescent="0.25">
      <c r="N749" s="8"/>
    </row>
    <row r="750" spans="14:14" x14ac:dyDescent="0.25">
      <c r="N750" s="8"/>
    </row>
    <row r="751" spans="14:14" x14ac:dyDescent="0.25">
      <c r="N751" s="8"/>
    </row>
    <row r="752" spans="14:14" x14ac:dyDescent="0.25">
      <c r="N752" s="8"/>
    </row>
    <row r="753" spans="14:14" x14ac:dyDescent="0.25">
      <c r="N753" s="8"/>
    </row>
    <row r="754" spans="14:14" x14ac:dyDescent="0.25">
      <c r="N754" s="8"/>
    </row>
    <row r="755" spans="14:14" x14ac:dyDescent="0.25">
      <c r="N755" s="8"/>
    </row>
    <row r="756" spans="14:14" x14ac:dyDescent="0.25">
      <c r="N756" s="8"/>
    </row>
    <row r="757" spans="14:14" x14ac:dyDescent="0.25">
      <c r="N757" s="8"/>
    </row>
    <row r="758" spans="14:14" x14ac:dyDescent="0.25">
      <c r="N758" s="8"/>
    </row>
    <row r="759" spans="14:14" x14ac:dyDescent="0.25">
      <c r="N759" s="8"/>
    </row>
    <row r="760" spans="14:14" x14ac:dyDescent="0.25">
      <c r="N760" s="8"/>
    </row>
    <row r="761" spans="14:14" x14ac:dyDescent="0.25">
      <c r="N761" s="8"/>
    </row>
    <row r="762" spans="14:14" x14ac:dyDescent="0.25">
      <c r="N762" s="8"/>
    </row>
    <row r="763" spans="14:14" x14ac:dyDescent="0.25">
      <c r="N763" s="8"/>
    </row>
    <row r="764" spans="14:14" x14ac:dyDescent="0.25">
      <c r="N764" s="8"/>
    </row>
    <row r="765" spans="14:14" x14ac:dyDescent="0.25">
      <c r="N765" s="8"/>
    </row>
    <row r="766" spans="14:14" x14ac:dyDescent="0.25">
      <c r="N766" s="8"/>
    </row>
    <row r="767" spans="14:14" x14ac:dyDescent="0.25">
      <c r="N767" s="8"/>
    </row>
    <row r="768" spans="14:14" x14ac:dyDescent="0.25">
      <c r="N768" s="8"/>
    </row>
    <row r="769" spans="14:14" x14ac:dyDescent="0.25">
      <c r="N769" s="8"/>
    </row>
    <row r="770" spans="14:14" x14ac:dyDescent="0.25">
      <c r="N770" s="8"/>
    </row>
    <row r="771" spans="14:14" x14ac:dyDescent="0.25">
      <c r="N771" s="8"/>
    </row>
    <row r="772" spans="14:14" x14ac:dyDescent="0.25">
      <c r="N772" s="8"/>
    </row>
    <row r="773" spans="14:14" x14ac:dyDescent="0.25">
      <c r="N773" s="8"/>
    </row>
    <row r="774" spans="14:14" x14ac:dyDescent="0.25">
      <c r="N774" s="8"/>
    </row>
    <row r="775" spans="14:14" x14ac:dyDescent="0.25">
      <c r="N775" s="8"/>
    </row>
    <row r="776" spans="14:14" x14ac:dyDescent="0.25">
      <c r="N776" s="8"/>
    </row>
    <row r="777" spans="14:14" x14ac:dyDescent="0.25">
      <c r="N777" s="8"/>
    </row>
    <row r="778" spans="14:14" x14ac:dyDescent="0.25">
      <c r="N778" s="8"/>
    </row>
    <row r="779" spans="14:14" x14ac:dyDescent="0.25">
      <c r="N779" s="8"/>
    </row>
    <row r="780" spans="14:14" x14ac:dyDescent="0.25">
      <c r="N780" s="8"/>
    </row>
    <row r="781" spans="14:14" x14ac:dyDescent="0.25">
      <c r="N781" s="8"/>
    </row>
    <row r="782" spans="14:14" x14ac:dyDescent="0.25">
      <c r="N782" s="8"/>
    </row>
    <row r="783" spans="14:14" x14ac:dyDescent="0.25">
      <c r="N783" s="8"/>
    </row>
    <row r="784" spans="14:14" x14ac:dyDescent="0.25">
      <c r="N784" s="8"/>
    </row>
    <row r="785" spans="14:14" x14ac:dyDescent="0.25">
      <c r="N785" s="8"/>
    </row>
    <row r="786" spans="14:14" x14ac:dyDescent="0.25">
      <c r="N786" s="8"/>
    </row>
    <row r="787" spans="14:14" x14ac:dyDescent="0.25">
      <c r="N787" s="8"/>
    </row>
    <row r="788" spans="14:14" x14ac:dyDescent="0.25">
      <c r="N788" s="8"/>
    </row>
    <row r="789" spans="14:14" x14ac:dyDescent="0.25">
      <c r="N789" s="8"/>
    </row>
    <row r="790" spans="14:14" x14ac:dyDescent="0.25">
      <c r="N790" s="8"/>
    </row>
    <row r="791" spans="14:14" x14ac:dyDescent="0.25">
      <c r="N791" s="8"/>
    </row>
    <row r="792" spans="14:14" x14ac:dyDescent="0.25">
      <c r="N792" s="8"/>
    </row>
    <row r="793" spans="14:14" x14ac:dyDescent="0.25">
      <c r="N793" s="8"/>
    </row>
    <row r="794" spans="14:14" x14ac:dyDescent="0.25">
      <c r="N794" s="8"/>
    </row>
    <row r="795" spans="14:14" x14ac:dyDescent="0.25">
      <c r="N795" s="8"/>
    </row>
    <row r="796" spans="14:14" x14ac:dyDescent="0.25">
      <c r="N796" s="8"/>
    </row>
    <row r="797" spans="14:14" x14ac:dyDescent="0.25">
      <c r="N797" s="8"/>
    </row>
    <row r="798" spans="14:14" x14ac:dyDescent="0.25">
      <c r="N798" s="8"/>
    </row>
    <row r="799" spans="14:14" x14ac:dyDescent="0.25">
      <c r="N799" s="8"/>
    </row>
    <row r="800" spans="14:14" x14ac:dyDescent="0.25">
      <c r="N800" s="8"/>
    </row>
    <row r="801" spans="14:14" x14ac:dyDescent="0.25">
      <c r="N801" s="8"/>
    </row>
    <row r="802" spans="14:14" x14ac:dyDescent="0.25">
      <c r="N802" s="8"/>
    </row>
    <row r="803" spans="14:14" x14ac:dyDescent="0.25">
      <c r="N803" s="8"/>
    </row>
    <row r="804" spans="14:14" x14ac:dyDescent="0.25">
      <c r="N804" s="8"/>
    </row>
    <row r="805" spans="14:14" x14ac:dyDescent="0.25">
      <c r="N805" s="8"/>
    </row>
    <row r="806" spans="14:14" x14ac:dyDescent="0.25">
      <c r="N806" s="8"/>
    </row>
    <row r="807" spans="14:14" x14ac:dyDescent="0.25">
      <c r="N807" s="8"/>
    </row>
    <row r="808" spans="14:14" x14ac:dyDescent="0.25">
      <c r="N808" s="8"/>
    </row>
    <row r="809" spans="14:14" x14ac:dyDescent="0.25">
      <c r="N809" s="8"/>
    </row>
    <row r="810" spans="14:14" x14ac:dyDescent="0.25">
      <c r="N810" s="8"/>
    </row>
    <row r="811" spans="14:14" x14ac:dyDescent="0.25">
      <c r="N811" s="8"/>
    </row>
    <row r="812" spans="14:14" x14ac:dyDescent="0.25">
      <c r="N812" s="8"/>
    </row>
    <row r="813" spans="14:14" x14ac:dyDescent="0.25">
      <c r="N813" s="8"/>
    </row>
    <row r="814" spans="14:14" x14ac:dyDescent="0.25">
      <c r="N814" s="8"/>
    </row>
    <row r="815" spans="14:14" x14ac:dyDescent="0.25">
      <c r="N815" s="8"/>
    </row>
    <row r="816" spans="14:14" x14ac:dyDescent="0.25">
      <c r="N816" s="8"/>
    </row>
    <row r="817" spans="14:14" x14ac:dyDescent="0.25">
      <c r="N817" s="8"/>
    </row>
    <row r="818" spans="14:14" x14ac:dyDescent="0.25">
      <c r="N818" s="8"/>
    </row>
    <row r="819" spans="14:14" x14ac:dyDescent="0.25">
      <c r="N819" s="8"/>
    </row>
    <row r="820" spans="14:14" x14ac:dyDescent="0.25">
      <c r="N820" s="8"/>
    </row>
    <row r="821" spans="14:14" x14ac:dyDescent="0.25">
      <c r="N821" s="8"/>
    </row>
    <row r="822" spans="14:14" x14ac:dyDescent="0.25">
      <c r="N822" s="8"/>
    </row>
    <row r="823" spans="14:14" x14ac:dyDescent="0.25">
      <c r="N823" s="8"/>
    </row>
    <row r="824" spans="14:14" x14ac:dyDescent="0.25">
      <c r="N824" s="8"/>
    </row>
    <row r="825" spans="14:14" x14ac:dyDescent="0.25">
      <c r="N825" s="8"/>
    </row>
    <row r="826" spans="14:14" x14ac:dyDescent="0.25">
      <c r="N826" s="8"/>
    </row>
    <row r="827" spans="14:14" x14ac:dyDescent="0.25">
      <c r="N827" s="8"/>
    </row>
    <row r="828" spans="14:14" x14ac:dyDescent="0.25">
      <c r="N828" s="8"/>
    </row>
    <row r="829" spans="14:14" x14ac:dyDescent="0.25">
      <c r="N829" s="8"/>
    </row>
    <row r="830" spans="14:14" x14ac:dyDescent="0.25">
      <c r="N830" s="8"/>
    </row>
    <row r="831" spans="14:14" x14ac:dyDescent="0.25">
      <c r="N831" s="8"/>
    </row>
    <row r="832" spans="14:14" x14ac:dyDescent="0.25">
      <c r="N832" s="8"/>
    </row>
    <row r="833" spans="14:14" x14ac:dyDescent="0.25">
      <c r="N833" s="8"/>
    </row>
    <row r="834" spans="14:14" x14ac:dyDescent="0.25">
      <c r="N834" s="8"/>
    </row>
    <row r="835" spans="14:14" x14ac:dyDescent="0.25">
      <c r="N835" s="8"/>
    </row>
    <row r="836" spans="14:14" x14ac:dyDescent="0.25">
      <c r="N836" s="8"/>
    </row>
    <row r="837" spans="14:14" x14ac:dyDescent="0.25">
      <c r="N837" s="8"/>
    </row>
    <row r="838" spans="14:14" x14ac:dyDescent="0.25">
      <c r="N838" s="8"/>
    </row>
    <row r="839" spans="14:14" x14ac:dyDescent="0.25">
      <c r="N839" s="8"/>
    </row>
    <row r="840" spans="14:14" x14ac:dyDescent="0.25">
      <c r="N840" s="8"/>
    </row>
    <row r="841" spans="14:14" x14ac:dyDescent="0.25">
      <c r="N841" s="8"/>
    </row>
    <row r="842" spans="14:14" x14ac:dyDescent="0.25">
      <c r="N842" s="8"/>
    </row>
    <row r="843" spans="14:14" x14ac:dyDescent="0.25">
      <c r="N843" s="8"/>
    </row>
    <row r="844" spans="14:14" x14ac:dyDescent="0.25">
      <c r="N844" s="8"/>
    </row>
    <row r="845" spans="14:14" x14ac:dyDescent="0.25">
      <c r="N845" s="8"/>
    </row>
    <row r="846" spans="14:14" x14ac:dyDescent="0.25">
      <c r="N846" s="8"/>
    </row>
    <row r="847" spans="14:14" x14ac:dyDescent="0.25">
      <c r="N847" s="8"/>
    </row>
    <row r="848" spans="14:14" x14ac:dyDescent="0.25">
      <c r="N848" s="8"/>
    </row>
    <row r="849" spans="14:14" x14ac:dyDescent="0.25">
      <c r="N849" s="8"/>
    </row>
    <row r="850" spans="14:14" x14ac:dyDescent="0.25">
      <c r="N850" s="8"/>
    </row>
    <row r="851" spans="14:14" x14ac:dyDescent="0.25">
      <c r="N851" s="8"/>
    </row>
    <row r="852" spans="14:14" x14ac:dyDescent="0.25">
      <c r="N852" s="8"/>
    </row>
    <row r="853" spans="14:14" x14ac:dyDescent="0.25">
      <c r="N853" s="8"/>
    </row>
    <row r="854" spans="14:14" x14ac:dyDescent="0.25">
      <c r="N854" s="8"/>
    </row>
    <row r="855" spans="14:14" x14ac:dyDescent="0.25">
      <c r="N855" s="8"/>
    </row>
    <row r="856" spans="14:14" x14ac:dyDescent="0.25">
      <c r="N856" s="8"/>
    </row>
    <row r="857" spans="14:14" x14ac:dyDescent="0.25">
      <c r="N857" s="8"/>
    </row>
    <row r="858" spans="14:14" x14ac:dyDescent="0.25">
      <c r="N858" s="8"/>
    </row>
    <row r="859" spans="14:14" x14ac:dyDescent="0.25">
      <c r="N859" s="8"/>
    </row>
    <row r="860" spans="14:14" x14ac:dyDescent="0.25">
      <c r="N860" s="8"/>
    </row>
    <row r="861" spans="14:14" x14ac:dyDescent="0.25">
      <c r="N861" s="8"/>
    </row>
    <row r="862" spans="14:14" x14ac:dyDescent="0.25">
      <c r="N862" s="8"/>
    </row>
    <row r="863" spans="14:14" x14ac:dyDescent="0.25">
      <c r="N863" s="8"/>
    </row>
    <row r="864" spans="14:14" x14ac:dyDescent="0.25">
      <c r="N864" s="8"/>
    </row>
    <row r="865" spans="14:14" x14ac:dyDescent="0.25">
      <c r="N865" s="8"/>
    </row>
    <row r="866" spans="14:14" x14ac:dyDescent="0.25">
      <c r="N866" s="8"/>
    </row>
    <row r="867" spans="14:14" x14ac:dyDescent="0.25">
      <c r="N867" s="8"/>
    </row>
    <row r="868" spans="14:14" x14ac:dyDescent="0.25">
      <c r="N868" s="8"/>
    </row>
    <row r="869" spans="14:14" x14ac:dyDescent="0.25">
      <c r="N869" s="8"/>
    </row>
    <row r="870" spans="14:14" x14ac:dyDescent="0.25">
      <c r="N870" s="8"/>
    </row>
    <row r="871" spans="14:14" x14ac:dyDescent="0.25">
      <c r="N871" s="8"/>
    </row>
    <row r="872" spans="14:14" x14ac:dyDescent="0.25">
      <c r="N872" s="8"/>
    </row>
    <row r="873" spans="14:14" x14ac:dyDescent="0.25">
      <c r="N873" s="8"/>
    </row>
    <row r="874" spans="14:14" x14ac:dyDescent="0.25">
      <c r="N874" s="8"/>
    </row>
    <row r="875" spans="14:14" x14ac:dyDescent="0.25">
      <c r="N875" s="8"/>
    </row>
    <row r="876" spans="14:14" x14ac:dyDescent="0.25">
      <c r="N876" s="8"/>
    </row>
    <row r="877" spans="14:14" x14ac:dyDescent="0.25">
      <c r="N877" s="8"/>
    </row>
    <row r="878" spans="14:14" x14ac:dyDescent="0.25">
      <c r="N878" s="8"/>
    </row>
    <row r="879" spans="14:14" x14ac:dyDescent="0.25">
      <c r="N879" s="8"/>
    </row>
    <row r="880" spans="14:14" x14ac:dyDescent="0.25">
      <c r="N880" s="8"/>
    </row>
    <row r="881" spans="14:14" x14ac:dyDescent="0.25">
      <c r="N881" s="8"/>
    </row>
    <row r="882" spans="14:14" x14ac:dyDescent="0.25">
      <c r="N882" s="8"/>
    </row>
    <row r="883" spans="14:14" x14ac:dyDescent="0.25">
      <c r="N883" s="8"/>
    </row>
    <row r="884" spans="14:14" x14ac:dyDescent="0.25">
      <c r="N884" s="8"/>
    </row>
    <row r="885" spans="14:14" x14ac:dyDescent="0.25">
      <c r="N885" s="8"/>
    </row>
    <row r="886" spans="14:14" x14ac:dyDescent="0.25">
      <c r="N886" s="8"/>
    </row>
    <row r="887" spans="14:14" x14ac:dyDescent="0.25">
      <c r="N887" s="8"/>
    </row>
    <row r="888" spans="14:14" x14ac:dyDescent="0.25">
      <c r="N888" s="8"/>
    </row>
    <row r="889" spans="14:14" x14ac:dyDescent="0.25">
      <c r="N889" s="8"/>
    </row>
    <row r="890" spans="14:14" x14ac:dyDescent="0.25">
      <c r="N890" s="8"/>
    </row>
    <row r="891" spans="14:14" x14ac:dyDescent="0.25">
      <c r="N891" s="8"/>
    </row>
    <row r="892" spans="14:14" x14ac:dyDescent="0.25">
      <c r="N892" s="8"/>
    </row>
    <row r="893" spans="14:14" x14ac:dyDescent="0.25">
      <c r="N893" s="8"/>
    </row>
    <row r="894" spans="14:14" x14ac:dyDescent="0.25">
      <c r="N894" s="8"/>
    </row>
    <row r="895" spans="14:14" x14ac:dyDescent="0.25">
      <c r="N895" s="8"/>
    </row>
    <row r="896" spans="14:14" x14ac:dyDescent="0.25">
      <c r="N896" s="8"/>
    </row>
    <row r="897" spans="14:14" x14ac:dyDescent="0.25">
      <c r="N897" s="8"/>
    </row>
    <row r="898" spans="14:14" x14ac:dyDescent="0.25">
      <c r="N898" s="8"/>
    </row>
    <row r="899" spans="14:14" x14ac:dyDescent="0.25">
      <c r="N899" s="8"/>
    </row>
    <row r="900" spans="14:14" x14ac:dyDescent="0.25">
      <c r="N900" s="8"/>
    </row>
    <row r="901" spans="14:14" x14ac:dyDescent="0.25">
      <c r="N901" s="8"/>
    </row>
    <row r="902" spans="14:14" x14ac:dyDescent="0.25">
      <c r="N902" s="8"/>
    </row>
    <row r="903" spans="14:14" x14ac:dyDescent="0.25">
      <c r="N903" s="8"/>
    </row>
    <row r="904" spans="14:14" x14ac:dyDescent="0.25">
      <c r="N904" s="8"/>
    </row>
    <row r="905" spans="14:14" x14ac:dyDescent="0.25">
      <c r="N905" s="8"/>
    </row>
    <row r="906" spans="14:14" x14ac:dyDescent="0.25">
      <c r="N906" s="8"/>
    </row>
    <row r="907" spans="14:14" x14ac:dyDescent="0.25">
      <c r="N907" s="8"/>
    </row>
    <row r="908" spans="14:14" x14ac:dyDescent="0.25">
      <c r="N908" s="8"/>
    </row>
    <row r="909" spans="14:14" x14ac:dyDescent="0.25">
      <c r="N909" s="8"/>
    </row>
    <row r="910" spans="14:14" x14ac:dyDescent="0.25">
      <c r="N910" s="8"/>
    </row>
    <row r="911" spans="14:14" x14ac:dyDescent="0.25">
      <c r="N911" s="8"/>
    </row>
    <row r="912" spans="14:14" x14ac:dyDescent="0.25">
      <c r="N912" s="8"/>
    </row>
    <row r="913" spans="14:14" x14ac:dyDescent="0.25">
      <c r="N913" s="8"/>
    </row>
    <row r="914" spans="14:14" x14ac:dyDescent="0.25">
      <c r="N914" s="8"/>
    </row>
    <row r="915" spans="14:14" x14ac:dyDescent="0.25">
      <c r="N915" s="8"/>
    </row>
    <row r="916" spans="14:14" x14ac:dyDescent="0.25">
      <c r="N916" s="8"/>
    </row>
    <row r="917" spans="14:14" x14ac:dyDescent="0.25">
      <c r="N917" s="8"/>
    </row>
    <row r="918" spans="14:14" x14ac:dyDescent="0.25">
      <c r="N918" s="8"/>
    </row>
    <row r="919" spans="14:14" x14ac:dyDescent="0.25">
      <c r="N919" s="8"/>
    </row>
    <row r="920" spans="14:14" x14ac:dyDescent="0.25">
      <c r="N920" s="8"/>
    </row>
    <row r="921" spans="14:14" x14ac:dyDescent="0.25">
      <c r="N921" s="8"/>
    </row>
    <row r="922" spans="14:14" x14ac:dyDescent="0.25">
      <c r="N922" s="8"/>
    </row>
    <row r="923" spans="14:14" x14ac:dyDescent="0.25">
      <c r="N923" s="8"/>
    </row>
    <row r="924" spans="14:14" x14ac:dyDescent="0.25">
      <c r="N924" s="8"/>
    </row>
    <row r="925" spans="14:14" x14ac:dyDescent="0.25">
      <c r="N925" s="8"/>
    </row>
    <row r="926" spans="14:14" x14ac:dyDescent="0.25">
      <c r="N926" s="8"/>
    </row>
    <row r="927" spans="14:14" x14ac:dyDescent="0.25">
      <c r="N927" s="8"/>
    </row>
    <row r="928" spans="14:14" x14ac:dyDescent="0.25">
      <c r="N928" s="8"/>
    </row>
    <row r="929" spans="14:14" x14ac:dyDescent="0.25">
      <c r="N929" s="8"/>
    </row>
    <row r="930" spans="14:14" x14ac:dyDescent="0.25">
      <c r="N930" s="8"/>
    </row>
    <row r="931" spans="14:14" x14ac:dyDescent="0.25">
      <c r="N931" s="8"/>
    </row>
    <row r="932" spans="14:14" x14ac:dyDescent="0.25">
      <c r="N932" s="8"/>
    </row>
    <row r="933" spans="14:14" x14ac:dyDescent="0.25">
      <c r="N933" s="8"/>
    </row>
    <row r="934" spans="14:14" x14ac:dyDescent="0.25">
      <c r="N934" s="8"/>
    </row>
    <row r="935" spans="14:14" x14ac:dyDescent="0.25">
      <c r="N935" s="8"/>
    </row>
    <row r="936" spans="14:14" x14ac:dyDescent="0.25">
      <c r="N936" s="8"/>
    </row>
    <row r="937" spans="14:14" x14ac:dyDescent="0.25">
      <c r="N937" s="8"/>
    </row>
    <row r="938" spans="14:14" x14ac:dyDescent="0.25">
      <c r="N938" s="8"/>
    </row>
    <row r="939" spans="14:14" x14ac:dyDescent="0.25">
      <c r="N939" s="8"/>
    </row>
    <row r="940" spans="14:14" x14ac:dyDescent="0.25">
      <c r="N940" s="8"/>
    </row>
    <row r="941" spans="14:14" x14ac:dyDescent="0.25">
      <c r="N941" s="8"/>
    </row>
    <row r="942" spans="14:14" x14ac:dyDescent="0.25">
      <c r="N942" s="8"/>
    </row>
    <row r="943" spans="14:14" x14ac:dyDescent="0.25">
      <c r="N943" s="8"/>
    </row>
    <row r="944" spans="14:14" x14ac:dyDescent="0.25">
      <c r="N944" s="8"/>
    </row>
    <row r="945" spans="14:14" x14ac:dyDescent="0.25">
      <c r="N945" s="8"/>
    </row>
    <row r="946" spans="14:14" x14ac:dyDescent="0.25">
      <c r="N946" s="8"/>
    </row>
    <row r="947" spans="14:14" x14ac:dyDescent="0.25">
      <c r="N947" s="8"/>
    </row>
    <row r="948" spans="14:14" x14ac:dyDescent="0.25">
      <c r="N948" s="8"/>
    </row>
    <row r="949" spans="14:14" x14ac:dyDescent="0.25">
      <c r="N949" s="8"/>
    </row>
    <row r="950" spans="14:14" x14ac:dyDescent="0.25">
      <c r="N950" s="8"/>
    </row>
    <row r="951" spans="14:14" x14ac:dyDescent="0.25">
      <c r="N951" s="8"/>
    </row>
    <row r="952" spans="14:14" x14ac:dyDescent="0.25">
      <c r="N952" s="8"/>
    </row>
    <row r="953" spans="14:14" x14ac:dyDescent="0.25">
      <c r="N953" s="8"/>
    </row>
    <row r="954" spans="14:14" x14ac:dyDescent="0.25">
      <c r="N954" s="8"/>
    </row>
    <row r="955" spans="14:14" x14ac:dyDescent="0.25">
      <c r="N955" s="8"/>
    </row>
    <row r="956" spans="14:14" x14ac:dyDescent="0.25">
      <c r="N956" s="8"/>
    </row>
    <row r="957" spans="14:14" x14ac:dyDescent="0.25">
      <c r="N957" s="8"/>
    </row>
    <row r="958" spans="14:14" x14ac:dyDescent="0.25">
      <c r="N958" s="8"/>
    </row>
    <row r="959" spans="14:14" x14ac:dyDescent="0.25">
      <c r="N959" s="8"/>
    </row>
    <row r="960" spans="14:14" x14ac:dyDescent="0.25">
      <c r="N960" s="8"/>
    </row>
    <row r="961" spans="14:14" x14ac:dyDescent="0.25">
      <c r="N961" s="8"/>
    </row>
    <row r="962" spans="14:14" x14ac:dyDescent="0.25">
      <c r="N962" s="8"/>
    </row>
    <row r="963" spans="14:14" x14ac:dyDescent="0.25">
      <c r="N963" s="8"/>
    </row>
    <row r="964" spans="14:14" x14ac:dyDescent="0.25">
      <c r="N964" s="8"/>
    </row>
    <row r="965" spans="14:14" x14ac:dyDescent="0.25">
      <c r="N965" s="8"/>
    </row>
    <row r="966" spans="14:14" x14ac:dyDescent="0.25">
      <c r="N966" s="8"/>
    </row>
    <row r="967" spans="14:14" x14ac:dyDescent="0.25">
      <c r="N967" s="8"/>
    </row>
    <row r="968" spans="14:14" x14ac:dyDescent="0.25">
      <c r="N968" s="8"/>
    </row>
    <row r="969" spans="14:14" x14ac:dyDescent="0.25">
      <c r="N969" s="8"/>
    </row>
    <row r="970" spans="14:14" x14ac:dyDescent="0.25">
      <c r="N970" s="8"/>
    </row>
    <row r="971" spans="14:14" x14ac:dyDescent="0.25">
      <c r="N971" s="8"/>
    </row>
    <row r="972" spans="14:14" x14ac:dyDescent="0.25">
      <c r="N972" s="8"/>
    </row>
    <row r="973" spans="14:14" x14ac:dyDescent="0.25">
      <c r="N973" s="8"/>
    </row>
    <row r="974" spans="14:14" x14ac:dyDescent="0.25">
      <c r="N974" s="8"/>
    </row>
    <row r="975" spans="14:14" x14ac:dyDescent="0.25">
      <c r="N975" s="8"/>
    </row>
    <row r="976" spans="14:14" x14ac:dyDescent="0.25">
      <c r="N976" s="8"/>
    </row>
    <row r="977" spans="14:14" x14ac:dyDescent="0.25">
      <c r="N977" s="8"/>
    </row>
    <row r="978" spans="14:14" x14ac:dyDescent="0.25">
      <c r="N978" s="8"/>
    </row>
    <row r="979" spans="14:14" x14ac:dyDescent="0.25">
      <c r="N979" s="8"/>
    </row>
    <row r="980" spans="14:14" x14ac:dyDescent="0.25">
      <c r="N980" s="8"/>
    </row>
    <row r="981" spans="14:14" x14ac:dyDescent="0.25">
      <c r="N981" s="8"/>
    </row>
    <row r="982" spans="14:14" x14ac:dyDescent="0.25">
      <c r="N982" s="8"/>
    </row>
    <row r="983" spans="14:14" x14ac:dyDescent="0.25">
      <c r="N983" s="8"/>
    </row>
    <row r="984" spans="14:14" x14ac:dyDescent="0.25">
      <c r="N984" s="8"/>
    </row>
    <row r="985" spans="14:14" x14ac:dyDescent="0.25">
      <c r="N985" s="8"/>
    </row>
    <row r="986" spans="14:14" x14ac:dyDescent="0.25">
      <c r="N986" s="8"/>
    </row>
    <row r="987" spans="14:14" x14ac:dyDescent="0.25">
      <c r="N987" s="8"/>
    </row>
    <row r="988" spans="14:14" x14ac:dyDescent="0.25">
      <c r="N988" s="8"/>
    </row>
    <row r="989" spans="14:14" x14ac:dyDescent="0.25">
      <c r="N989" s="8"/>
    </row>
    <row r="990" spans="14:14" x14ac:dyDescent="0.25">
      <c r="N990" s="8"/>
    </row>
    <row r="991" spans="14:14" x14ac:dyDescent="0.25">
      <c r="N991" s="8"/>
    </row>
    <row r="992" spans="14:14" x14ac:dyDescent="0.25">
      <c r="N992" s="8"/>
    </row>
    <row r="993" spans="14:14" x14ac:dyDescent="0.25">
      <c r="N993" s="8"/>
    </row>
    <row r="994" spans="14:14" x14ac:dyDescent="0.25">
      <c r="N994" s="8"/>
    </row>
    <row r="995" spans="14:14" x14ac:dyDescent="0.25">
      <c r="N995" s="8"/>
    </row>
    <row r="996" spans="14:14" x14ac:dyDescent="0.25">
      <c r="N996" s="8"/>
    </row>
    <row r="997" spans="14:14" x14ac:dyDescent="0.25">
      <c r="N997" s="8"/>
    </row>
    <row r="998" spans="14:14" x14ac:dyDescent="0.25">
      <c r="N998" s="8"/>
    </row>
    <row r="999" spans="14:14" x14ac:dyDescent="0.25">
      <c r="N999" s="8"/>
    </row>
    <row r="1000" spans="14:14" x14ac:dyDescent="0.25">
      <c r="N1000" s="8"/>
    </row>
    <row r="1001" spans="14:14" x14ac:dyDescent="0.25">
      <c r="N1001" s="8"/>
    </row>
    <row r="1002" spans="14:14" x14ac:dyDescent="0.25">
      <c r="N1002" s="8"/>
    </row>
    <row r="1003" spans="14:14" x14ac:dyDescent="0.25">
      <c r="N1003" s="8"/>
    </row>
    <row r="1004" spans="14:14" x14ac:dyDescent="0.25">
      <c r="N1004" s="8"/>
    </row>
    <row r="1005" spans="14:14" x14ac:dyDescent="0.25">
      <c r="N1005" s="8"/>
    </row>
    <row r="1006" spans="14:14" x14ac:dyDescent="0.25">
      <c r="N1006" s="8"/>
    </row>
    <row r="1007" spans="14:14" x14ac:dyDescent="0.25">
      <c r="N1007" s="8"/>
    </row>
    <row r="1008" spans="14:14" x14ac:dyDescent="0.25">
      <c r="N1008" s="8"/>
    </row>
    <row r="1009" spans="14:14" x14ac:dyDescent="0.25">
      <c r="N1009" s="8"/>
    </row>
    <row r="1010" spans="14:14" x14ac:dyDescent="0.25">
      <c r="N1010" s="8"/>
    </row>
    <row r="1011" spans="14:14" x14ac:dyDescent="0.25">
      <c r="N1011" s="8"/>
    </row>
    <row r="1012" spans="14:14" x14ac:dyDescent="0.25">
      <c r="N1012" s="8"/>
    </row>
    <row r="1013" spans="14:14" x14ac:dyDescent="0.25">
      <c r="N1013" s="8"/>
    </row>
    <row r="1014" spans="14:14" x14ac:dyDescent="0.25">
      <c r="N1014" s="8"/>
    </row>
    <row r="1015" spans="14:14" x14ac:dyDescent="0.25">
      <c r="N1015" s="8"/>
    </row>
    <row r="1016" spans="14:14" x14ac:dyDescent="0.25">
      <c r="N1016" s="8"/>
    </row>
    <row r="1017" spans="14:14" x14ac:dyDescent="0.25">
      <c r="N1017" s="8"/>
    </row>
    <row r="1018" spans="14:14" x14ac:dyDescent="0.25">
      <c r="N1018" s="8"/>
    </row>
    <row r="1019" spans="14:14" x14ac:dyDescent="0.25">
      <c r="N1019" s="8"/>
    </row>
    <row r="1020" spans="14:14" x14ac:dyDescent="0.25">
      <c r="N1020" s="8"/>
    </row>
    <row r="1021" spans="14:14" x14ac:dyDescent="0.25">
      <c r="N1021" s="8"/>
    </row>
    <row r="1022" spans="14:14" x14ac:dyDescent="0.25">
      <c r="N1022" s="8"/>
    </row>
    <row r="1023" spans="14:14" x14ac:dyDescent="0.25">
      <c r="N1023" s="8"/>
    </row>
    <row r="1024" spans="14:14" x14ac:dyDescent="0.25">
      <c r="N1024" s="8"/>
    </row>
    <row r="1025" spans="14:14" x14ac:dyDescent="0.25">
      <c r="N1025" s="8"/>
    </row>
    <row r="1026" spans="14:14" x14ac:dyDescent="0.25">
      <c r="N1026" s="8"/>
    </row>
    <row r="1027" spans="14:14" x14ac:dyDescent="0.25">
      <c r="N1027" s="8"/>
    </row>
    <row r="1028" spans="14:14" x14ac:dyDescent="0.25">
      <c r="N1028" s="8"/>
    </row>
    <row r="1029" spans="14:14" x14ac:dyDescent="0.25">
      <c r="N1029" s="8"/>
    </row>
    <row r="1030" spans="14:14" x14ac:dyDescent="0.25">
      <c r="N1030" s="8"/>
    </row>
    <row r="1031" spans="14:14" x14ac:dyDescent="0.25">
      <c r="N1031" s="8"/>
    </row>
    <row r="1032" spans="14:14" x14ac:dyDescent="0.25">
      <c r="N1032" s="8"/>
    </row>
    <row r="1033" spans="14:14" x14ac:dyDescent="0.25">
      <c r="N1033" s="8"/>
    </row>
    <row r="1034" spans="14:14" x14ac:dyDescent="0.25">
      <c r="N1034" s="8"/>
    </row>
    <row r="1035" spans="14:14" x14ac:dyDescent="0.25">
      <c r="N1035" s="8"/>
    </row>
    <row r="1036" spans="14:14" x14ac:dyDescent="0.25">
      <c r="N1036" s="8"/>
    </row>
    <row r="1037" spans="14:14" x14ac:dyDescent="0.25">
      <c r="N1037" s="8"/>
    </row>
    <row r="1038" spans="14:14" x14ac:dyDescent="0.25">
      <c r="N1038" s="8"/>
    </row>
    <row r="1039" spans="14:14" x14ac:dyDescent="0.25">
      <c r="N1039" s="8"/>
    </row>
    <row r="1040" spans="14:14" x14ac:dyDescent="0.25">
      <c r="N1040" s="8"/>
    </row>
    <row r="1041" spans="14:14" x14ac:dyDescent="0.25">
      <c r="N1041" s="8"/>
    </row>
    <row r="1042" spans="14:14" x14ac:dyDescent="0.25">
      <c r="N1042" s="8"/>
    </row>
    <row r="1043" spans="14:14" x14ac:dyDescent="0.25">
      <c r="N1043" s="8"/>
    </row>
    <row r="1044" spans="14:14" x14ac:dyDescent="0.25">
      <c r="N1044" s="8"/>
    </row>
    <row r="1045" spans="14:14" x14ac:dyDescent="0.25">
      <c r="N1045" s="8"/>
    </row>
    <row r="1046" spans="14:14" x14ac:dyDescent="0.25">
      <c r="N1046" s="8"/>
    </row>
    <row r="1047" spans="14:14" x14ac:dyDescent="0.25">
      <c r="N1047" s="8"/>
    </row>
    <row r="1048" spans="14:14" x14ac:dyDescent="0.25">
      <c r="N1048" s="8"/>
    </row>
    <row r="1049" spans="14:14" x14ac:dyDescent="0.25">
      <c r="N1049" s="8"/>
    </row>
    <row r="1050" spans="14:14" x14ac:dyDescent="0.25">
      <c r="N1050" s="8"/>
    </row>
    <row r="1051" spans="14:14" x14ac:dyDescent="0.25">
      <c r="N1051" s="8"/>
    </row>
    <row r="1052" spans="14:14" x14ac:dyDescent="0.25">
      <c r="N1052" s="8"/>
    </row>
    <row r="1053" spans="14:14" x14ac:dyDescent="0.25">
      <c r="N1053" s="8"/>
    </row>
    <row r="1054" spans="14:14" x14ac:dyDescent="0.25">
      <c r="N1054" s="8"/>
    </row>
    <row r="1055" spans="14:14" x14ac:dyDescent="0.25">
      <c r="N1055" s="8"/>
    </row>
    <row r="1056" spans="14:14" x14ac:dyDescent="0.25">
      <c r="N1056" s="8"/>
    </row>
    <row r="1057" spans="14:14" x14ac:dyDescent="0.25">
      <c r="N1057" s="8"/>
    </row>
    <row r="1058" spans="14:14" x14ac:dyDescent="0.25">
      <c r="N1058" s="8"/>
    </row>
    <row r="1059" spans="14:14" x14ac:dyDescent="0.25">
      <c r="N1059" s="8"/>
    </row>
    <row r="1060" spans="14:14" x14ac:dyDescent="0.25">
      <c r="N1060" s="8"/>
    </row>
    <row r="1061" spans="14:14" x14ac:dyDescent="0.25">
      <c r="N1061" s="8"/>
    </row>
    <row r="1062" spans="14:14" x14ac:dyDescent="0.25">
      <c r="N1062" s="8"/>
    </row>
    <row r="1063" spans="14:14" x14ac:dyDescent="0.25">
      <c r="N1063" s="8"/>
    </row>
    <row r="1064" spans="14:14" x14ac:dyDescent="0.25">
      <c r="N1064" s="8"/>
    </row>
    <row r="1065" spans="14:14" x14ac:dyDescent="0.25">
      <c r="N1065" s="8"/>
    </row>
    <row r="1066" spans="14:14" x14ac:dyDescent="0.25">
      <c r="N1066" s="8"/>
    </row>
    <row r="1067" spans="14:14" x14ac:dyDescent="0.25">
      <c r="N1067" s="8"/>
    </row>
    <row r="1068" spans="14:14" x14ac:dyDescent="0.25">
      <c r="N1068" s="8"/>
    </row>
    <row r="1069" spans="14:14" x14ac:dyDescent="0.25">
      <c r="N1069" s="8"/>
    </row>
    <row r="1070" spans="14:14" x14ac:dyDescent="0.25">
      <c r="N1070" s="8"/>
    </row>
    <row r="1071" spans="14:14" x14ac:dyDescent="0.25">
      <c r="N1071" s="8"/>
    </row>
    <row r="1072" spans="14:14" x14ac:dyDescent="0.25">
      <c r="N1072" s="8"/>
    </row>
    <row r="1073" spans="14:14" x14ac:dyDescent="0.25">
      <c r="N1073" s="8"/>
    </row>
    <row r="1074" spans="14:14" x14ac:dyDescent="0.25">
      <c r="N1074" s="8"/>
    </row>
    <row r="1075" spans="14:14" x14ac:dyDescent="0.25">
      <c r="N1075" s="8"/>
    </row>
    <row r="1076" spans="14:14" x14ac:dyDescent="0.25">
      <c r="N1076" s="8"/>
    </row>
    <row r="1077" spans="14:14" x14ac:dyDescent="0.25">
      <c r="N1077" s="8"/>
    </row>
    <row r="1078" spans="14:14" x14ac:dyDescent="0.25">
      <c r="N1078" s="8"/>
    </row>
    <row r="1079" spans="14:14" x14ac:dyDescent="0.25">
      <c r="N1079" s="8"/>
    </row>
    <row r="1080" spans="14:14" x14ac:dyDescent="0.25">
      <c r="N1080" s="8"/>
    </row>
    <row r="1081" spans="14:14" x14ac:dyDescent="0.25">
      <c r="N1081" s="8"/>
    </row>
    <row r="1082" spans="14:14" x14ac:dyDescent="0.25">
      <c r="N1082" s="8"/>
    </row>
    <row r="1083" spans="14:14" x14ac:dyDescent="0.25">
      <c r="N1083" s="8"/>
    </row>
    <row r="1084" spans="14:14" x14ac:dyDescent="0.25">
      <c r="N1084" s="8"/>
    </row>
    <row r="1085" spans="14:14" x14ac:dyDescent="0.25">
      <c r="N1085" s="8"/>
    </row>
    <row r="1086" spans="14:14" x14ac:dyDescent="0.25">
      <c r="N1086" s="8"/>
    </row>
    <row r="1087" spans="14:14" x14ac:dyDescent="0.25">
      <c r="N1087" s="8"/>
    </row>
    <row r="1088" spans="14:14" x14ac:dyDescent="0.25">
      <c r="N1088" s="8"/>
    </row>
    <row r="1089" spans="14:14" x14ac:dyDescent="0.25">
      <c r="N1089" s="8"/>
    </row>
    <row r="1090" spans="14:14" x14ac:dyDescent="0.25">
      <c r="N1090" s="8"/>
    </row>
    <row r="1091" spans="14:14" x14ac:dyDescent="0.25">
      <c r="N1091" s="8"/>
    </row>
    <row r="1092" spans="14:14" x14ac:dyDescent="0.25">
      <c r="N1092" s="8"/>
    </row>
    <row r="1093" spans="14:14" x14ac:dyDescent="0.25">
      <c r="N1093" s="8"/>
    </row>
    <row r="1094" spans="14:14" x14ac:dyDescent="0.25">
      <c r="N1094" s="8"/>
    </row>
    <row r="1095" spans="14:14" x14ac:dyDescent="0.25">
      <c r="N1095" s="8"/>
    </row>
    <row r="1096" spans="14:14" x14ac:dyDescent="0.25">
      <c r="N1096" s="8"/>
    </row>
    <row r="1097" spans="14:14" x14ac:dyDescent="0.25">
      <c r="N1097" s="8"/>
    </row>
    <row r="1098" spans="14:14" x14ac:dyDescent="0.25">
      <c r="N1098" s="8"/>
    </row>
    <row r="1099" spans="14:14" x14ac:dyDescent="0.25">
      <c r="N1099" s="8"/>
    </row>
    <row r="1100" spans="14:14" x14ac:dyDescent="0.25">
      <c r="N1100" s="8"/>
    </row>
    <row r="1101" spans="14:14" x14ac:dyDescent="0.25">
      <c r="N1101" s="8"/>
    </row>
    <row r="1102" spans="14:14" x14ac:dyDescent="0.25">
      <c r="N1102" s="8"/>
    </row>
    <row r="1103" spans="14:14" x14ac:dyDescent="0.25">
      <c r="N1103" s="8"/>
    </row>
    <row r="1104" spans="14:14" x14ac:dyDescent="0.25">
      <c r="N1104" s="8"/>
    </row>
    <row r="1105" spans="14:14" x14ac:dyDescent="0.25">
      <c r="N1105" s="8"/>
    </row>
    <row r="1106" spans="14:14" x14ac:dyDescent="0.25">
      <c r="N1106" s="8"/>
    </row>
    <row r="1107" spans="14:14" x14ac:dyDescent="0.25">
      <c r="N1107" s="8"/>
    </row>
    <row r="1108" spans="14:14" x14ac:dyDescent="0.25">
      <c r="N1108" s="8"/>
    </row>
    <row r="1109" spans="14:14" x14ac:dyDescent="0.25">
      <c r="N1109" s="8"/>
    </row>
    <row r="1110" spans="14:14" x14ac:dyDescent="0.25">
      <c r="N1110" s="8"/>
    </row>
    <row r="1111" spans="14:14" x14ac:dyDescent="0.25">
      <c r="N1111" s="8"/>
    </row>
    <row r="1112" spans="14:14" x14ac:dyDescent="0.25">
      <c r="N1112" s="8"/>
    </row>
    <row r="1113" spans="14:14" x14ac:dyDescent="0.25">
      <c r="N1113" s="8"/>
    </row>
    <row r="1114" spans="14:14" x14ac:dyDescent="0.25">
      <c r="N1114" s="8"/>
    </row>
    <row r="1115" spans="14:14" x14ac:dyDescent="0.25">
      <c r="N1115" s="8"/>
    </row>
    <row r="1116" spans="14:14" x14ac:dyDescent="0.25">
      <c r="N1116" s="8"/>
    </row>
    <row r="1117" spans="14:14" x14ac:dyDescent="0.25">
      <c r="N1117" s="8"/>
    </row>
    <row r="1118" spans="14:14" x14ac:dyDescent="0.25">
      <c r="N1118" s="8"/>
    </row>
    <row r="1119" spans="14:14" x14ac:dyDescent="0.25">
      <c r="N1119" s="8"/>
    </row>
    <row r="1120" spans="14:14" x14ac:dyDescent="0.25">
      <c r="N1120" s="8"/>
    </row>
    <row r="1121" spans="14:14" x14ac:dyDescent="0.25">
      <c r="N1121" s="8"/>
    </row>
    <row r="1122" spans="14:14" x14ac:dyDescent="0.25">
      <c r="N1122" s="8"/>
    </row>
    <row r="1123" spans="14:14" x14ac:dyDescent="0.25">
      <c r="N1123" s="8"/>
    </row>
    <row r="1124" spans="14:14" x14ac:dyDescent="0.25">
      <c r="N1124" s="8"/>
    </row>
    <row r="1125" spans="14:14" x14ac:dyDescent="0.25">
      <c r="N1125" s="8"/>
    </row>
    <row r="1126" spans="14:14" x14ac:dyDescent="0.25">
      <c r="N1126" s="8"/>
    </row>
    <row r="1127" spans="14:14" x14ac:dyDescent="0.25">
      <c r="N1127" s="8"/>
    </row>
    <row r="1128" spans="14:14" x14ac:dyDescent="0.25">
      <c r="N1128" s="8"/>
    </row>
    <row r="1129" spans="14:14" x14ac:dyDescent="0.25">
      <c r="N1129" s="8"/>
    </row>
    <row r="1130" spans="14:14" x14ac:dyDescent="0.25">
      <c r="N1130" s="8"/>
    </row>
    <row r="1131" spans="14:14" x14ac:dyDescent="0.25">
      <c r="N1131" s="8"/>
    </row>
    <row r="1132" spans="14:14" x14ac:dyDescent="0.25">
      <c r="N1132" s="8"/>
    </row>
    <row r="1133" spans="14:14" x14ac:dyDescent="0.25">
      <c r="N1133" s="8"/>
    </row>
    <row r="1134" spans="14:14" x14ac:dyDescent="0.25">
      <c r="N1134" s="8"/>
    </row>
    <row r="1135" spans="14:14" x14ac:dyDescent="0.25">
      <c r="N1135" s="8"/>
    </row>
    <row r="1136" spans="14:14" x14ac:dyDescent="0.25">
      <c r="N1136" s="8"/>
    </row>
    <row r="1137" spans="14:14" x14ac:dyDescent="0.25">
      <c r="N1137" s="8"/>
    </row>
    <row r="1138" spans="14:14" x14ac:dyDescent="0.25">
      <c r="N1138" s="8"/>
    </row>
    <row r="1139" spans="14:14" x14ac:dyDescent="0.25">
      <c r="N1139" s="8"/>
    </row>
    <row r="1140" spans="14:14" x14ac:dyDescent="0.25">
      <c r="N1140" s="8"/>
    </row>
    <row r="1141" spans="14:14" x14ac:dyDescent="0.25">
      <c r="N1141" s="8"/>
    </row>
    <row r="1142" spans="14:14" x14ac:dyDescent="0.25">
      <c r="N1142" s="8"/>
    </row>
    <row r="1143" spans="14:14" x14ac:dyDescent="0.25">
      <c r="N1143" s="8"/>
    </row>
    <row r="1144" spans="14:14" x14ac:dyDescent="0.25">
      <c r="N1144" s="8"/>
    </row>
    <row r="1145" spans="14:14" x14ac:dyDescent="0.25">
      <c r="N1145" s="8"/>
    </row>
    <row r="1146" spans="14:14" x14ac:dyDescent="0.25">
      <c r="N1146" s="8"/>
    </row>
    <row r="1147" spans="14:14" x14ac:dyDescent="0.25">
      <c r="N1147" s="8"/>
    </row>
    <row r="1148" spans="14:14" x14ac:dyDescent="0.25">
      <c r="N1148" s="8"/>
    </row>
    <row r="1149" spans="14:14" x14ac:dyDescent="0.25">
      <c r="N1149" s="8"/>
    </row>
    <row r="1150" spans="14:14" x14ac:dyDescent="0.25">
      <c r="N1150" s="8"/>
    </row>
    <row r="1151" spans="14:14" x14ac:dyDescent="0.25">
      <c r="N1151" s="8"/>
    </row>
    <row r="1152" spans="14:14" x14ac:dyDescent="0.25">
      <c r="N1152" s="8"/>
    </row>
    <row r="1153" spans="14:14" x14ac:dyDescent="0.25">
      <c r="N1153" s="8"/>
    </row>
    <row r="1154" spans="14:14" x14ac:dyDescent="0.25">
      <c r="N1154" s="8"/>
    </row>
    <row r="1155" spans="14:14" x14ac:dyDescent="0.25">
      <c r="N1155" s="8"/>
    </row>
    <row r="1156" spans="14:14" x14ac:dyDescent="0.25">
      <c r="N1156" s="8"/>
    </row>
    <row r="1157" spans="14:14" x14ac:dyDescent="0.25">
      <c r="N1157" s="8"/>
    </row>
    <row r="1158" spans="14:14" x14ac:dyDescent="0.25">
      <c r="N1158" s="8"/>
    </row>
    <row r="1159" spans="14:14" x14ac:dyDescent="0.25">
      <c r="N1159" s="8"/>
    </row>
    <row r="1160" spans="14:14" x14ac:dyDescent="0.25">
      <c r="N1160" s="8"/>
    </row>
    <row r="1161" spans="14:14" x14ac:dyDescent="0.25">
      <c r="N1161" s="8"/>
    </row>
    <row r="1162" spans="14:14" x14ac:dyDescent="0.25">
      <c r="N1162" s="8"/>
    </row>
    <row r="1163" spans="14:14" x14ac:dyDescent="0.25">
      <c r="N1163" s="8"/>
    </row>
    <row r="1164" spans="14:14" x14ac:dyDescent="0.25">
      <c r="N1164" s="8"/>
    </row>
    <row r="1165" spans="14:14" x14ac:dyDescent="0.25">
      <c r="N1165" s="8"/>
    </row>
    <row r="1166" spans="14:14" x14ac:dyDescent="0.25">
      <c r="N1166" s="8"/>
    </row>
    <row r="1167" spans="14:14" x14ac:dyDescent="0.25">
      <c r="N1167" s="8"/>
    </row>
    <row r="1168" spans="14:14" x14ac:dyDescent="0.25">
      <c r="N1168" s="8"/>
    </row>
    <row r="1169" spans="14:14" x14ac:dyDescent="0.25">
      <c r="N1169" s="8"/>
    </row>
    <row r="1170" spans="14:14" x14ac:dyDescent="0.25">
      <c r="N1170" s="8"/>
    </row>
    <row r="1171" spans="14:14" x14ac:dyDescent="0.25">
      <c r="N1171" s="8"/>
    </row>
    <row r="1172" spans="14:14" x14ac:dyDescent="0.25">
      <c r="N1172" s="8"/>
    </row>
    <row r="1173" spans="14:14" x14ac:dyDescent="0.25">
      <c r="N1173" s="8"/>
    </row>
    <row r="1174" spans="14:14" x14ac:dyDescent="0.25">
      <c r="N1174" s="8"/>
    </row>
    <row r="1175" spans="14:14" x14ac:dyDescent="0.25">
      <c r="N1175" s="8"/>
    </row>
    <row r="1176" spans="14:14" x14ac:dyDescent="0.25">
      <c r="N1176" s="8"/>
    </row>
    <row r="1177" spans="14:14" x14ac:dyDescent="0.25">
      <c r="N1177" s="8"/>
    </row>
    <row r="1178" spans="14:14" x14ac:dyDescent="0.25">
      <c r="N1178" s="8"/>
    </row>
    <row r="1179" spans="14:14" x14ac:dyDescent="0.25">
      <c r="N1179" s="8"/>
    </row>
    <row r="1180" spans="14:14" x14ac:dyDescent="0.25">
      <c r="N1180" s="8"/>
    </row>
    <row r="1181" spans="14:14" x14ac:dyDescent="0.25">
      <c r="N1181" s="8"/>
    </row>
  </sheetData>
  <sheetProtection selectLockedCells="1"/>
  <mergeCells count="12">
    <mergeCell ref="B2:G2"/>
    <mergeCell ref="M9:M10"/>
    <mergeCell ref="N9:N10"/>
    <mergeCell ref="D9:G9"/>
    <mergeCell ref="B9:B10"/>
    <mergeCell ref="C9:C10"/>
    <mergeCell ref="H9:H10"/>
    <mergeCell ref="I9:I10"/>
    <mergeCell ref="J9:J10"/>
    <mergeCell ref="K9:K10"/>
    <mergeCell ref="L9:L10"/>
    <mergeCell ref="B8:N8"/>
  </mergeCells>
  <dataValidations count="1">
    <dataValidation allowBlank="1" showInputMessage="1" promptTitle="Cuidado!" prompt="Todos esses valores estão ligados aos dados da aba chamada &quot;Geral&quot;_x000a_Mudei caso queira calcular uma rede ramificada independente" sqref="B3:G6 K2:P5"/>
  </dataValidations>
  <pageMargins left="0.7" right="0.7" top="0.75" bottom="0.75" header="0.3" footer="0.3"/>
  <pageSetup orientation="portrait" horizontalDpi="4294967293" verticalDpi="4294967293" r:id="rId1"/>
  <ignoredErrors>
    <ignoredError sqref="M12 C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ar_Geral_Ramificado">
                <anchor moveWithCells="1" sizeWithCells="1">
                  <from>
                    <xdr:col>7</xdr:col>
                    <xdr:colOff>28575</xdr:colOff>
                    <xdr:row>0</xdr:row>
                    <xdr:rowOff>180975</xdr:rowOff>
                  </from>
                  <to>
                    <xdr:col>8</xdr:col>
                    <xdr:colOff>400050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mificada_Trechos">
                <anchor moveWithCells="1" sizeWithCells="1">
                  <from>
                    <xdr:col>7</xdr:col>
                    <xdr:colOff>85725</xdr:colOff>
                    <xdr:row>3</xdr:row>
                    <xdr:rowOff>123825</xdr:rowOff>
                  </from>
                  <to>
                    <xdr:col>8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1:T63"/>
  <sheetViews>
    <sheetView tabSelected="1" workbookViewId="0">
      <selection activeCell="B8" sqref="B8:M16"/>
    </sheetView>
  </sheetViews>
  <sheetFormatPr defaultRowHeight="15" x14ac:dyDescent="0.25"/>
  <cols>
    <col min="1" max="1" width="9.140625" style="2"/>
    <col min="2" max="2" width="12.7109375" style="28" bestFit="1" customWidth="1"/>
    <col min="3" max="3" width="12.5703125" style="28" bestFit="1" customWidth="1"/>
    <col min="4" max="4" width="12.5703125" style="51" bestFit="1" customWidth="1"/>
    <col min="5" max="5" width="13.5703125" style="51" bestFit="1" customWidth="1"/>
    <col min="6" max="6" width="12" style="51" bestFit="1" customWidth="1"/>
    <col min="7" max="7" width="17.7109375" style="51" bestFit="1" customWidth="1"/>
    <col min="8" max="8" width="12.7109375" style="51" bestFit="1" customWidth="1"/>
    <col min="9" max="9" width="12.7109375" style="52" bestFit="1" customWidth="1"/>
    <col min="10" max="10" width="12.7109375" style="51" bestFit="1" customWidth="1"/>
    <col min="11" max="11" width="11" style="2" bestFit="1" customWidth="1"/>
    <col min="12" max="14" width="9.140625" style="2"/>
    <col min="15" max="15" width="15.7109375" style="2" customWidth="1"/>
    <col min="16" max="16" width="3" style="2" customWidth="1"/>
    <col min="17" max="17" width="9.140625" style="2"/>
    <col min="18" max="18" width="16.7109375" style="2" bestFit="1" customWidth="1"/>
    <col min="19" max="16384" width="9.140625" style="2"/>
  </cols>
  <sheetData>
    <row r="1" spans="2:20" x14ac:dyDescent="0.25">
      <c r="B1" s="2"/>
      <c r="C1" s="2"/>
      <c r="D1" s="2"/>
      <c r="E1" s="2"/>
      <c r="F1" s="2"/>
      <c r="G1" s="2"/>
      <c r="H1" s="2"/>
      <c r="I1" s="2"/>
      <c r="J1" s="2"/>
    </row>
    <row r="2" spans="2:20" x14ac:dyDescent="0.25">
      <c r="B2" s="32" t="s">
        <v>20</v>
      </c>
      <c r="C2" s="32"/>
      <c r="D2" s="32"/>
      <c r="E2" s="1"/>
      <c r="F2" s="1"/>
      <c r="G2" s="1" t="s">
        <v>17</v>
      </c>
      <c r="H2" s="1"/>
      <c r="I2" s="1"/>
      <c r="J2" s="1"/>
      <c r="K2" s="1"/>
      <c r="L2" s="1"/>
      <c r="M2" s="1"/>
      <c r="N2" s="1"/>
      <c r="O2" s="1"/>
    </row>
    <row r="3" spans="2:20" x14ac:dyDescent="0.25">
      <c r="B3" s="1" t="s">
        <v>0</v>
      </c>
      <c r="C3" s="25">
        <f>Geral!M26</f>
        <v>67.066666666666663</v>
      </c>
      <c r="D3" s="1"/>
      <c r="E3" s="1"/>
      <c r="F3" s="1"/>
      <c r="G3" s="1" t="s">
        <v>18</v>
      </c>
      <c r="H3" s="26">
        <v>30.07</v>
      </c>
      <c r="I3" s="1"/>
      <c r="J3" s="1"/>
      <c r="K3" s="1"/>
      <c r="L3" s="1"/>
      <c r="M3" s="1"/>
      <c r="N3" s="1"/>
      <c r="O3" s="1"/>
    </row>
    <row r="4" spans="2:20" x14ac:dyDescent="0.25">
      <c r="B4" s="1" t="s">
        <v>19</v>
      </c>
      <c r="C4" s="26">
        <f>Geral!G5</f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2:20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2:20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20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2:20" x14ac:dyDescent="0.25">
      <c r="B8" s="53" t="s">
        <v>1</v>
      </c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1"/>
    </row>
    <row r="9" spans="2:20" x14ac:dyDescent="0.25">
      <c r="B9" s="54" t="s">
        <v>2</v>
      </c>
      <c r="C9" s="54" t="s">
        <v>3</v>
      </c>
      <c r="D9" s="54" t="s">
        <v>4</v>
      </c>
      <c r="E9" s="54" t="s">
        <v>6</v>
      </c>
      <c r="F9" s="54" t="s">
        <v>5</v>
      </c>
      <c r="G9" s="54" t="s">
        <v>7</v>
      </c>
      <c r="H9" s="54" t="s">
        <v>8</v>
      </c>
      <c r="I9" s="54" t="s">
        <v>9</v>
      </c>
      <c r="J9" s="54" t="s">
        <v>10</v>
      </c>
      <c r="K9" s="54" t="s">
        <v>11</v>
      </c>
      <c r="L9" s="54" t="s">
        <v>12</v>
      </c>
      <c r="M9" s="54" t="s">
        <v>13</v>
      </c>
      <c r="N9" s="1"/>
      <c r="O9" s="1" t="s">
        <v>22</v>
      </c>
      <c r="P9" s="1"/>
      <c r="Q9" s="1" t="s">
        <v>16</v>
      </c>
      <c r="R9" s="1" t="s">
        <v>15</v>
      </c>
      <c r="S9" s="1"/>
      <c r="T9" s="1"/>
    </row>
    <row r="10" spans="2:20" ht="4.5" customHeight="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2:20" x14ac:dyDescent="0.25">
      <c r="B11" s="1">
        <v>1.5</v>
      </c>
      <c r="C11" s="1">
        <f>calcd(E11)</f>
        <v>250</v>
      </c>
      <c r="D11" s="26">
        <v>600</v>
      </c>
      <c r="E11" s="1">
        <f>(ABS(H3)-R11)*P11</f>
        <v>30.07</v>
      </c>
      <c r="F11" s="1">
        <f>calch(D11,$C$4,E11,C11)*P11</f>
        <v>1.640726243709582</v>
      </c>
      <c r="G11" s="1">
        <f>1.85*F11/E11</f>
        <v>0.1009425856622124</v>
      </c>
      <c r="H11" s="1">
        <f>-$F$16/$G$16</f>
        <v>-9.0595053658953706E-2</v>
      </c>
      <c r="I11" s="1">
        <f>E11+H11</f>
        <v>29.979404946341045</v>
      </c>
      <c r="J11" s="1">
        <f>calch(D11,$C$4,I11,C11)*P11</f>
        <v>1.6315832098710077</v>
      </c>
      <c r="K11" s="1">
        <f>1.85*J11/I11</f>
        <v>0.10068341728809932</v>
      </c>
      <c r="L11" s="1">
        <f>-$J$16/$K$16</f>
        <v>-3.5464799889831376E-4</v>
      </c>
      <c r="M11" s="1">
        <f>I11+L11</f>
        <v>29.979050298342148</v>
      </c>
      <c r="N11" s="1"/>
      <c r="O11" s="26" t="s">
        <v>23</v>
      </c>
      <c r="P11" s="1">
        <f>IF(O11="+",1,IF(O11="-",-1,0))</f>
        <v>1</v>
      </c>
      <c r="Q11" s="1">
        <v>1</v>
      </c>
      <c r="R11" s="26">
        <v>0</v>
      </c>
      <c r="S11" s="1"/>
      <c r="T11" s="1"/>
    </row>
    <row r="12" spans="2:20" x14ac:dyDescent="0.25">
      <c r="B12" s="1">
        <v>5.4</v>
      </c>
      <c r="C12" s="1">
        <f>calcd(E12)</f>
        <v>125</v>
      </c>
      <c r="D12" s="26">
        <v>200</v>
      </c>
      <c r="E12" s="1">
        <f>(ABS(E11)-R15)*P12</f>
        <v>9.9490000000000016</v>
      </c>
      <c r="F12" s="1">
        <f>calch(D12,$C$4,E12,C12)*P12</f>
        <v>2.06212670291597</v>
      </c>
      <c r="G12" s="1">
        <f>1.85*F12/E12</f>
        <v>0.38344903009292836</v>
      </c>
      <c r="H12" s="1">
        <f>-$F$16/$G$16</f>
        <v>-9.0595053658953706E-2</v>
      </c>
      <c r="I12" s="1">
        <f>E12+H12</f>
        <v>9.8584049463410484</v>
      </c>
      <c r="J12" s="1">
        <f>calch(D12,$C$4,I12,C12)*P12</f>
        <v>2.0274855242621443</v>
      </c>
      <c r="K12" s="1">
        <f>1.85*J12/I12</f>
        <v>0.3804721189990371</v>
      </c>
      <c r="L12" s="1">
        <f>-$J$16/$K$16</f>
        <v>-3.5464799889831376E-4</v>
      </c>
      <c r="M12" s="1">
        <f>I12+L12</f>
        <v>9.8580502983421496</v>
      </c>
      <c r="N12" s="1"/>
      <c r="O12" s="26" t="s">
        <v>23</v>
      </c>
      <c r="P12" s="1">
        <f>IF(O12="+",1,IF(O12="-",-1,0))</f>
        <v>1</v>
      </c>
      <c r="Q12" s="1">
        <v>2</v>
      </c>
      <c r="R12" s="26">
        <v>20.120999999999999</v>
      </c>
      <c r="S12" s="1"/>
      <c r="T12" s="1"/>
    </row>
    <row r="13" spans="2:20" x14ac:dyDescent="0.25">
      <c r="B13" s="1">
        <v>4.3</v>
      </c>
      <c r="C13" s="1">
        <f>calcd(E13)</f>
        <v>100</v>
      </c>
      <c r="D13" s="26">
        <v>200</v>
      </c>
      <c r="E13" s="1">
        <f>(ABS(E12)-R14)*P13</f>
        <v>3.2420000000000018</v>
      </c>
      <c r="F13" s="1">
        <f>calch(D13,$C$4,E13,C13)*P13</f>
        <v>0.76631142212530101</v>
      </c>
      <c r="G13" s="1">
        <f>1.85*F13/E13</f>
        <v>0.43728443273652257</v>
      </c>
      <c r="H13" s="1">
        <f>-$F$16/$G$16</f>
        <v>-9.0595053658953706E-2</v>
      </c>
      <c r="I13" s="1">
        <f>E13+H13</f>
        <v>3.1514049463410481</v>
      </c>
      <c r="J13" s="1">
        <f>calch(D13,$C$4,I13,C13)*P13</f>
        <v>0.72712554894899128</v>
      </c>
      <c r="K13" s="1">
        <f>1.85*J13/I13</f>
        <v>0.42685160696896907</v>
      </c>
      <c r="L13" s="1">
        <f>-$J$16/$K$16</f>
        <v>-3.5464799889831376E-4</v>
      </c>
      <c r="M13" s="1">
        <f>I13+L13</f>
        <v>3.1510502983421498</v>
      </c>
      <c r="N13" s="1"/>
      <c r="O13" s="26" t="s">
        <v>23</v>
      </c>
      <c r="P13" s="1">
        <f>IF(O13="+",1,IF(O13="-",-1,0))</f>
        <v>1</v>
      </c>
      <c r="Q13" s="1">
        <v>3</v>
      </c>
      <c r="R13" s="26">
        <v>20.120999999999999</v>
      </c>
      <c r="S13" s="1"/>
      <c r="T13" s="1"/>
    </row>
    <row r="14" spans="2:20" x14ac:dyDescent="0.25">
      <c r="B14" s="1">
        <v>1.2</v>
      </c>
      <c r="C14" s="1">
        <f>calcd(E14)</f>
        <v>250</v>
      </c>
      <c r="D14" s="26">
        <v>600</v>
      </c>
      <c r="E14" s="1">
        <f>(ABS(C3)-E11)*P14</f>
        <v>-36.996666666666663</v>
      </c>
      <c r="F14" s="1">
        <f>calch(D14,$C$4,E14,C14)*P14</f>
        <v>-2.408630297754442</v>
      </c>
      <c r="G14" s="1">
        <f>1.85*F14/E14</f>
        <v>0.1204423655512853</v>
      </c>
      <c r="H14" s="1">
        <f>-$F$16/$G$16</f>
        <v>-9.0595053658953706E-2</v>
      </c>
      <c r="I14" s="1">
        <f>E14+H14</f>
        <v>-37.087261720325614</v>
      </c>
      <c r="J14" s="1">
        <f>calch(D14,$C$4,I14,C14)*P14</f>
        <v>-2.4195649698884361</v>
      </c>
      <c r="K14" s="1">
        <f>1.85*J14/I14</f>
        <v>0.12069360170207538</v>
      </c>
      <c r="L14" s="1">
        <f>-$J$16/$K$16</f>
        <v>-3.5464799889831376E-4</v>
      </c>
      <c r="M14" s="1">
        <f>I14+L14</f>
        <v>-37.087616368324511</v>
      </c>
      <c r="N14" s="1"/>
      <c r="O14" s="26" t="s">
        <v>21</v>
      </c>
      <c r="P14" s="1">
        <f>IF(O14="+",1,IF(O14="-",-1,0))</f>
        <v>-1</v>
      </c>
      <c r="Q14" s="1">
        <v>4</v>
      </c>
      <c r="R14" s="26">
        <v>6.7069999999999999</v>
      </c>
      <c r="S14" s="1"/>
      <c r="T14" s="1"/>
    </row>
    <row r="15" spans="2:20" x14ac:dyDescent="0.25">
      <c r="B15" s="1">
        <v>2.2999999999999998</v>
      </c>
      <c r="C15" s="1">
        <f>calcd(E15)</f>
        <v>200</v>
      </c>
      <c r="D15" s="26">
        <v>700</v>
      </c>
      <c r="E15" s="1">
        <f>(ABS(E14)-R12)*P15</f>
        <v>-16.875666666666664</v>
      </c>
      <c r="F15" s="1">
        <f>calch(D15,$C$4,E15,C15)*P15</f>
        <v>-1.9467887458050084</v>
      </c>
      <c r="G15" s="1">
        <f>1.85*F15/E15</f>
        <v>0.21341729786907773</v>
      </c>
      <c r="H15" s="1">
        <f>-$F$16/$G$16</f>
        <v>-9.0595053658953706E-2</v>
      </c>
      <c r="I15" s="1">
        <f>E15+H15</f>
        <v>-16.966261720325619</v>
      </c>
      <c r="J15" s="1">
        <f>calch(D15,$C$4,I15,C15)*P15</f>
        <v>-1.9661884524660516</v>
      </c>
      <c r="K15" s="1">
        <f>1.85*J15/I15</f>
        <v>0.2143930523424924</v>
      </c>
      <c r="L15" s="1">
        <f>-$J$16/$K$16</f>
        <v>-3.5464799889831376E-4</v>
      </c>
      <c r="M15" s="1">
        <f>I15+L15</f>
        <v>-16.966616368324516</v>
      </c>
      <c r="N15" s="1"/>
      <c r="O15" s="26" t="s">
        <v>21</v>
      </c>
      <c r="P15" s="1">
        <f>IF(O15="+",1,IF(O15="-",-1,0))</f>
        <v>-1</v>
      </c>
      <c r="Q15" s="1">
        <v>5</v>
      </c>
      <c r="R15" s="26">
        <v>20.120999999999999</v>
      </c>
      <c r="S15" s="1"/>
      <c r="T15" s="1"/>
    </row>
    <row r="16" spans="2:20" x14ac:dyDescent="0.25">
      <c r="B16" s="54" t="s">
        <v>14</v>
      </c>
      <c r="C16" s="54" t="s">
        <v>21</v>
      </c>
      <c r="D16" s="54">
        <f>SUM(D10:D15)</f>
        <v>2300</v>
      </c>
      <c r="E16" s="54" t="s">
        <v>21</v>
      </c>
      <c r="F16" s="54">
        <f t="shared" ref="F16:K16" si="0">SUM(F10:F15)</f>
        <v>0.11374532519140268</v>
      </c>
      <c r="G16" s="54">
        <f t="shared" si="0"/>
        <v>1.2555357119120265</v>
      </c>
      <c r="H16" s="54" t="s">
        <v>21</v>
      </c>
      <c r="I16" s="54" t="s">
        <v>21</v>
      </c>
      <c r="J16" s="54">
        <f t="shared" si="0"/>
        <v>4.4086072765558981E-4</v>
      </c>
      <c r="K16" s="54">
        <f t="shared" si="0"/>
        <v>1.2430937973006733</v>
      </c>
      <c r="L16" s="54" t="s">
        <v>21</v>
      </c>
      <c r="M16" s="54" t="s">
        <v>21</v>
      </c>
      <c r="N16" s="1"/>
      <c r="O16" s="1"/>
      <c r="P16" s="1"/>
      <c r="Q16" s="1"/>
      <c r="R16" s="1"/>
      <c r="S16" s="1"/>
      <c r="T16" s="1"/>
    </row>
    <row r="17" spans="2:20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2:20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2:20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20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20" x14ac:dyDescent="0.25">
      <c r="B21" s="1" t="s">
        <v>24</v>
      </c>
      <c r="C21" s="1" t="s">
        <v>4</v>
      </c>
      <c r="D21" s="1" t="s">
        <v>25</v>
      </c>
      <c r="E21" s="1" t="s">
        <v>26</v>
      </c>
      <c r="F21" s="1" t="s">
        <v>27</v>
      </c>
      <c r="G21" s="1" t="s">
        <v>28</v>
      </c>
      <c r="H21" s="1" t="s">
        <v>29</v>
      </c>
      <c r="I21" s="1" t="s">
        <v>30</v>
      </c>
      <c r="J21" s="1" t="s">
        <v>31</v>
      </c>
      <c r="K21" s="1"/>
      <c r="L21" s="1"/>
      <c r="M21" s="1"/>
      <c r="N21" s="1"/>
      <c r="O21" s="1"/>
    </row>
    <row r="22" spans="2:20" ht="8.25" customHeight="1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20" x14ac:dyDescent="0.25">
      <c r="B23" s="26">
        <v>0</v>
      </c>
      <c r="C23" s="26" t="s">
        <v>21</v>
      </c>
      <c r="D23" s="1" t="s">
        <v>21</v>
      </c>
      <c r="E23" s="1" t="s">
        <v>21</v>
      </c>
      <c r="F23" s="1" t="s">
        <v>21</v>
      </c>
      <c r="G23" s="1" t="s">
        <v>21</v>
      </c>
      <c r="H23" s="1">
        <v>415</v>
      </c>
      <c r="I23" s="27">
        <v>415</v>
      </c>
      <c r="J23" s="1">
        <f>H23-I23</f>
        <v>0</v>
      </c>
      <c r="K23" s="1"/>
      <c r="L23" s="1"/>
      <c r="M23" s="1"/>
      <c r="N23" s="1"/>
      <c r="O23" s="1"/>
    </row>
    <row r="24" spans="2:20" x14ac:dyDescent="0.25">
      <c r="B24" s="26">
        <v>0.1</v>
      </c>
      <c r="C24" s="26">
        <f>3000</f>
        <v>3000</v>
      </c>
      <c r="D24" s="47">
        <f>ABS(C3)</f>
        <v>67.066666666666663</v>
      </c>
      <c r="E24" s="47">
        <f>calcd(D24)</f>
        <v>300</v>
      </c>
      <c r="F24" s="47">
        <f>(D24*10^(-3))/(PI()*(E24*10^(-3))^2/4)</f>
        <v>0.94879924592857301</v>
      </c>
      <c r="G24" s="47">
        <f>calch(C24,$C$4,D24,E24)</f>
        <v>14.913541962404031</v>
      </c>
      <c r="H24" s="48" t="s">
        <v>21</v>
      </c>
      <c r="I24" s="49" t="s">
        <v>21</v>
      </c>
      <c r="J24" s="48" t="s">
        <v>21</v>
      </c>
      <c r="K24" s="1"/>
      <c r="L24" s="1"/>
      <c r="M24" s="1"/>
      <c r="N24" s="1"/>
      <c r="O24" s="1"/>
    </row>
    <row r="25" spans="2:20" x14ac:dyDescent="0.25">
      <c r="B25" s="26">
        <v>1</v>
      </c>
      <c r="C25" s="26" t="s">
        <v>21</v>
      </c>
      <c r="D25" s="47" t="s">
        <v>21</v>
      </c>
      <c r="E25" s="47" t="s">
        <v>21</v>
      </c>
      <c r="F25" s="47" t="s">
        <v>21</v>
      </c>
      <c r="G25" s="47" t="s">
        <v>21</v>
      </c>
      <c r="H25" s="47">
        <f>H23-G24</f>
        <v>400.08645803759595</v>
      </c>
      <c r="I25" s="50">
        <v>310</v>
      </c>
      <c r="J25" s="47">
        <f t="shared" ref="J24:J34" si="1">H25-I25</f>
        <v>90.086458037595946</v>
      </c>
      <c r="K25" s="1"/>
      <c r="L25" s="1"/>
      <c r="M25" s="1"/>
      <c r="N25" s="1"/>
      <c r="O25" s="1"/>
    </row>
    <row r="26" spans="2:20" x14ac:dyDescent="0.25">
      <c r="B26" s="26">
        <v>1.5</v>
      </c>
      <c r="C26" s="26">
        <f>D11</f>
        <v>600</v>
      </c>
      <c r="D26" s="47">
        <f>ABS(E11)</f>
        <v>30.07</v>
      </c>
      <c r="E26" s="47">
        <f t="shared" ref="E26:E33" si="2">calcd(D26)</f>
        <v>250</v>
      </c>
      <c r="F26" s="47">
        <f t="shared" ref="F26:F33" si="3">(D26*10^(-3))/(PI()*(E26*10^(-3))^2/4)</f>
        <v>0.61258100976298147</v>
      </c>
      <c r="G26" s="47">
        <f t="shared" ref="G26:G33" si="4">calch(C26,$C$4,D26,E26)</f>
        <v>1.640726243709582</v>
      </c>
      <c r="H26" s="48" t="s">
        <v>21</v>
      </c>
      <c r="I26" s="49" t="s">
        <v>21</v>
      </c>
      <c r="J26" s="48" t="s">
        <v>21</v>
      </c>
      <c r="K26" s="1"/>
      <c r="L26" s="1"/>
      <c r="M26" s="1"/>
      <c r="N26" s="1"/>
      <c r="O26" s="1"/>
    </row>
    <row r="27" spans="2:20" x14ac:dyDescent="0.25">
      <c r="B27" s="26">
        <v>5</v>
      </c>
      <c r="C27" s="26" t="s">
        <v>21</v>
      </c>
      <c r="D27" s="47" t="s">
        <v>21</v>
      </c>
      <c r="E27" s="47" t="s">
        <v>21</v>
      </c>
      <c r="F27" s="47" t="s">
        <v>21</v>
      </c>
      <c r="G27" s="47" t="s">
        <v>21</v>
      </c>
      <c r="H27" s="47">
        <f>H25-G26</f>
        <v>398.44573179388635</v>
      </c>
      <c r="I27" s="50">
        <v>311</v>
      </c>
      <c r="J27" s="47">
        <f t="shared" si="1"/>
        <v>87.445731793886353</v>
      </c>
      <c r="K27" s="1"/>
      <c r="L27" s="1"/>
      <c r="M27" s="1"/>
      <c r="N27" s="1"/>
      <c r="O27" s="1"/>
    </row>
    <row r="28" spans="2:20" x14ac:dyDescent="0.25">
      <c r="B28" s="26">
        <v>5.4</v>
      </c>
      <c r="C28" s="26">
        <f>D12</f>
        <v>200</v>
      </c>
      <c r="D28" s="47">
        <f>ABS(E12)</f>
        <v>9.9490000000000016</v>
      </c>
      <c r="E28" s="47">
        <f t="shared" si="2"/>
        <v>125</v>
      </c>
      <c r="F28" s="47">
        <f t="shared" si="3"/>
        <v>0.81071745475648871</v>
      </c>
      <c r="G28" s="47">
        <f t="shared" si="4"/>
        <v>2.06212670291597</v>
      </c>
      <c r="H28" s="48" t="s">
        <v>21</v>
      </c>
      <c r="I28" s="49" t="s">
        <v>21</v>
      </c>
      <c r="J28" s="48" t="s">
        <v>21</v>
      </c>
      <c r="K28" s="1"/>
      <c r="L28" s="1"/>
      <c r="M28" s="1"/>
      <c r="N28" s="1"/>
      <c r="O28" s="1"/>
    </row>
    <row r="29" spans="2:20" x14ac:dyDescent="0.25">
      <c r="B29" s="26">
        <v>4</v>
      </c>
      <c r="C29" s="26" t="s">
        <v>21</v>
      </c>
      <c r="D29" s="47" t="s">
        <v>21</v>
      </c>
      <c r="E29" s="47" t="s">
        <v>21</v>
      </c>
      <c r="F29" s="47" t="s">
        <v>21</v>
      </c>
      <c r="G29" s="47" t="s">
        <v>21</v>
      </c>
      <c r="H29" s="47">
        <f>H27-G28</f>
        <v>396.38360509097038</v>
      </c>
      <c r="I29" s="50">
        <v>310</v>
      </c>
      <c r="J29" s="47">
        <f t="shared" si="1"/>
        <v>86.383605090970377</v>
      </c>
      <c r="K29" s="1"/>
      <c r="L29" s="1"/>
      <c r="M29" s="1"/>
      <c r="N29" s="1"/>
      <c r="O29" s="1"/>
    </row>
    <row r="30" spans="2:20" x14ac:dyDescent="0.25">
      <c r="B30" s="26">
        <v>4.3</v>
      </c>
      <c r="C30" s="26">
        <f>D13</f>
        <v>200</v>
      </c>
      <c r="D30" s="47">
        <f>ABS(E13)</f>
        <v>3.2420000000000018</v>
      </c>
      <c r="E30" s="47">
        <f t="shared" si="2"/>
        <v>100</v>
      </c>
      <c r="F30" s="47">
        <f t="shared" si="3"/>
        <v>0.41278426040313998</v>
      </c>
      <c r="G30" s="47">
        <f t="shared" si="4"/>
        <v>0.76631142212530101</v>
      </c>
      <c r="H30" s="48" t="s">
        <v>21</v>
      </c>
      <c r="I30" s="49" t="s">
        <v>21</v>
      </c>
      <c r="J30" s="48" t="s">
        <v>21</v>
      </c>
      <c r="K30" s="1"/>
      <c r="L30" s="1"/>
      <c r="M30" s="1"/>
      <c r="N30" s="1"/>
      <c r="O30" s="1"/>
    </row>
    <row r="31" spans="2:20" x14ac:dyDescent="0.25">
      <c r="B31" s="26">
        <v>1.2</v>
      </c>
      <c r="C31" s="26">
        <f>D14</f>
        <v>600</v>
      </c>
      <c r="D31" s="47">
        <f>ABS(E14)</f>
        <v>36.996666666666663</v>
      </c>
      <c r="E31" s="47">
        <f t="shared" si="2"/>
        <v>250</v>
      </c>
      <c r="F31" s="47">
        <f t="shared" si="3"/>
        <v>0.75368990437416372</v>
      </c>
      <c r="G31" s="47">
        <f t="shared" si="4"/>
        <v>2.408630297754442</v>
      </c>
      <c r="H31" s="48" t="s">
        <v>21</v>
      </c>
      <c r="I31" s="49" t="s">
        <v>21</v>
      </c>
      <c r="J31" s="48" t="s">
        <v>21</v>
      </c>
      <c r="K31" s="1"/>
      <c r="L31" s="1"/>
      <c r="M31" s="1"/>
      <c r="N31" s="1"/>
      <c r="O31" s="1"/>
    </row>
    <row r="32" spans="2:20" x14ac:dyDescent="0.25">
      <c r="B32" s="26">
        <v>2</v>
      </c>
      <c r="C32" s="26" t="s">
        <v>21</v>
      </c>
      <c r="D32" s="47" t="s">
        <v>21</v>
      </c>
      <c r="E32" s="47" t="s">
        <v>21</v>
      </c>
      <c r="F32" s="47" t="s">
        <v>21</v>
      </c>
      <c r="G32" s="47" t="s">
        <v>21</v>
      </c>
      <c r="H32" s="47">
        <f>H25-G31</f>
        <v>397.67782773984152</v>
      </c>
      <c r="I32" s="50">
        <v>311</v>
      </c>
      <c r="J32" s="47">
        <f t="shared" si="1"/>
        <v>86.677827739841518</v>
      </c>
      <c r="K32" s="1"/>
      <c r="L32" s="1"/>
      <c r="M32" s="1"/>
      <c r="N32" s="1"/>
      <c r="O32" s="1"/>
    </row>
    <row r="33" spans="2:15" x14ac:dyDescent="0.25">
      <c r="B33" s="26">
        <v>2.2999999999999998</v>
      </c>
      <c r="C33" s="26">
        <f>D15</f>
        <v>700</v>
      </c>
      <c r="D33" s="47">
        <f>ABS(E15)</f>
        <v>16.875666666666664</v>
      </c>
      <c r="E33" s="47">
        <f t="shared" si="2"/>
        <v>200</v>
      </c>
      <c r="F33" s="47">
        <f t="shared" si="3"/>
        <v>0.53716915359422557</v>
      </c>
      <c r="G33" s="47">
        <f t="shared" si="4"/>
        <v>1.9467887458050084</v>
      </c>
      <c r="H33" s="48" t="s">
        <v>21</v>
      </c>
      <c r="I33" s="49" t="s">
        <v>21</v>
      </c>
      <c r="J33" s="48" t="s">
        <v>21</v>
      </c>
      <c r="K33" s="1"/>
      <c r="L33" s="1"/>
      <c r="M33" s="1"/>
      <c r="N33" s="1"/>
      <c r="O33" s="1"/>
    </row>
    <row r="34" spans="2:15" x14ac:dyDescent="0.25">
      <c r="B34" s="26">
        <v>3</v>
      </c>
      <c r="C34" s="26" t="s">
        <v>21</v>
      </c>
      <c r="D34" s="47" t="s">
        <v>21</v>
      </c>
      <c r="E34" s="47" t="s">
        <v>21</v>
      </c>
      <c r="F34" s="47" t="s">
        <v>21</v>
      </c>
      <c r="G34" s="47" t="s">
        <v>21</v>
      </c>
      <c r="H34" s="47">
        <f>H32-G33</f>
        <v>395.73103899403651</v>
      </c>
      <c r="I34" s="50">
        <v>312</v>
      </c>
      <c r="J34" s="47">
        <f t="shared" si="1"/>
        <v>83.73103899403651</v>
      </c>
      <c r="K34" s="1"/>
      <c r="L34" s="1"/>
      <c r="M34" s="1"/>
      <c r="N34" s="1"/>
      <c r="O34" s="1"/>
    </row>
    <row r="35" spans="2:15" x14ac:dyDescent="0.25">
      <c r="B35" s="26"/>
      <c r="C35" s="26"/>
      <c r="D35" s="47"/>
      <c r="E35" s="47"/>
      <c r="F35" s="47"/>
      <c r="G35" s="47"/>
      <c r="H35" s="47"/>
      <c r="I35" s="50"/>
      <c r="J35" s="47"/>
      <c r="K35" s="1"/>
      <c r="L35" s="1"/>
      <c r="M35" s="1"/>
      <c r="N35" s="1"/>
      <c r="O35" s="1"/>
    </row>
    <row r="36" spans="2:15" x14ac:dyDescent="0.25">
      <c r="B36" s="26"/>
      <c r="C36" s="26"/>
      <c r="D36" s="47"/>
      <c r="E36" s="47"/>
      <c r="F36" s="47"/>
      <c r="G36" s="47"/>
      <c r="H36" s="47"/>
      <c r="I36" s="50"/>
      <c r="J36" s="47"/>
      <c r="K36" s="1"/>
      <c r="L36" s="1"/>
      <c r="M36" s="1"/>
      <c r="N36" s="1"/>
      <c r="O36" s="1"/>
    </row>
    <row r="37" spans="2:15" x14ac:dyDescent="0.25">
      <c r="B37" s="26"/>
      <c r="C37" s="26"/>
      <c r="D37" s="47"/>
      <c r="E37" s="47"/>
      <c r="F37" s="47"/>
      <c r="G37" s="47"/>
      <c r="H37" s="47"/>
      <c r="I37" s="50"/>
      <c r="J37" s="47"/>
      <c r="K37" s="1"/>
      <c r="L37" s="1"/>
      <c r="M37" s="1"/>
      <c r="N37" s="1"/>
      <c r="O37" s="1"/>
    </row>
    <row r="38" spans="2:15" x14ac:dyDescent="0.25">
      <c r="B38" s="26"/>
      <c r="C38" s="26"/>
      <c r="D38" s="47"/>
      <c r="E38" s="47"/>
      <c r="F38" s="47"/>
      <c r="G38" s="47"/>
      <c r="H38" s="47"/>
      <c r="I38" s="50"/>
      <c r="J38" s="47"/>
      <c r="K38" s="1"/>
      <c r="L38" s="1"/>
      <c r="M38" s="1"/>
      <c r="N38" s="1"/>
      <c r="O38" s="1"/>
    </row>
    <row r="39" spans="2:15" x14ac:dyDescent="0.25">
      <c r="B39" s="26"/>
      <c r="C39" s="26"/>
      <c r="D39" s="47"/>
      <c r="E39" s="47"/>
      <c r="F39" s="47"/>
      <c r="G39" s="47"/>
      <c r="H39" s="47"/>
      <c r="I39" s="50"/>
      <c r="J39" s="47"/>
      <c r="K39" s="1"/>
      <c r="L39" s="1"/>
      <c r="M39" s="1"/>
      <c r="N39" s="1"/>
      <c r="O39" s="1"/>
    </row>
    <row r="40" spans="2:15" x14ac:dyDescent="0.25">
      <c r="B40" s="26"/>
      <c r="C40" s="26"/>
      <c r="D40" s="47"/>
      <c r="E40" s="47"/>
      <c r="F40" s="47"/>
      <c r="G40" s="47"/>
      <c r="H40" s="47"/>
      <c r="I40" s="50"/>
      <c r="J40" s="47"/>
      <c r="K40" s="1"/>
      <c r="L40" s="1"/>
      <c r="M40" s="1"/>
      <c r="N40" s="1"/>
      <c r="O40" s="1"/>
    </row>
    <row r="41" spans="2:15" x14ac:dyDescent="0.25">
      <c r="B41" s="26"/>
      <c r="C41" s="26"/>
      <c r="D41" s="47"/>
      <c r="E41" s="47"/>
      <c r="F41" s="47"/>
      <c r="G41" s="47"/>
      <c r="H41" s="47"/>
      <c r="I41" s="50"/>
      <c r="J41" s="47"/>
      <c r="K41" s="1"/>
      <c r="L41" s="1"/>
      <c r="M41" s="1"/>
      <c r="N41" s="1"/>
      <c r="O41" s="1"/>
    </row>
    <row r="42" spans="2:15" x14ac:dyDescent="0.25">
      <c r="B42" s="26"/>
      <c r="C42" s="26"/>
      <c r="D42" s="47"/>
      <c r="E42" s="47"/>
      <c r="F42" s="47"/>
      <c r="G42" s="47"/>
      <c r="H42" s="47"/>
      <c r="I42" s="50"/>
      <c r="J42" s="47"/>
      <c r="K42" s="1"/>
      <c r="L42" s="1"/>
      <c r="M42" s="1"/>
      <c r="N42" s="1"/>
      <c r="O42" s="1"/>
    </row>
    <row r="43" spans="2:15" x14ac:dyDescent="0.25">
      <c r="B43" s="26"/>
      <c r="C43" s="26"/>
      <c r="D43" s="47"/>
      <c r="E43" s="47"/>
      <c r="F43" s="47"/>
      <c r="G43" s="47"/>
      <c r="H43" s="47"/>
      <c r="I43" s="50"/>
      <c r="J43" s="47"/>
      <c r="K43" s="1"/>
      <c r="L43" s="1"/>
      <c r="M43" s="1"/>
      <c r="N43" s="1"/>
      <c r="O43" s="1"/>
    </row>
    <row r="44" spans="2:15" x14ac:dyDescent="0.25">
      <c r="B44" s="26"/>
      <c r="C44" s="26"/>
      <c r="D44" s="47"/>
      <c r="E44" s="47"/>
      <c r="F44" s="47"/>
      <c r="G44" s="47"/>
      <c r="H44" s="47"/>
      <c r="I44" s="50"/>
      <c r="J44" s="47"/>
      <c r="K44" s="1"/>
      <c r="L44" s="1"/>
      <c r="M44" s="1"/>
      <c r="N44" s="1"/>
      <c r="O44" s="1"/>
    </row>
    <row r="45" spans="2:15" x14ac:dyDescent="0.25">
      <c r="B45" s="26"/>
      <c r="C45" s="26"/>
      <c r="D45" s="47"/>
      <c r="E45" s="47"/>
      <c r="F45" s="47"/>
      <c r="G45" s="47"/>
      <c r="H45" s="47"/>
      <c r="I45" s="50"/>
      <c r="J45" s="47"/>
      <c r="K45" s="1"/>
      <c r="L45" s="1"/>
      <c r="M45" s="1"/>
      <c r="N45" s="1"/>
      <c r="O45" s="1"/>
    </row>
    <row r="46" spans="2:15" x14ac:dyDescent="0.25">
      <c r="B46" s="26"/>
      <c r="C46" s="26"/>
      <c r="D46" s="47"/>
      <c r="E46" s="47"/>
      <c r="F46" s="47"/>
      <c r="G46" s="47"/>
      <c r="H46" s="47"/>
      <c r="I46" s="50"/>
      <c r="J46" s="47"/>
      <c r="K46" s="1"/>
      <c r="L46" s="1"/>
      <c r="M46" s="1"/>
      <c r="N46" s="1"/>
      <c r="O46" s="1"/>
    </row>
    <row r="47" spans="2:15" x14ac:dyDescent="0.25">
      <c r="B47" s="26"/>
      <c r="C47" s="26"/>
      <c r="D47" s="47"/>
      <c r="E47" s="47"/>
      <c r="F47" s="47"/>
      <c r="G47" s="47"/>
      <c r="H47" s="47"/>
      <c r="I47" s="50"/>
      <c r="J47" s="47"/>
      <c r="K47" s="1"/>
      <c r="L47" s="1"/>
      <c r="M47" s="1"/>
      <c r="N47" s="1"/>
      <c r="O47" s="1"/>
    </row>
    <row r="48" spans="2:15" x14ac:dyDescent="0.25">
      <c r="B48" s="26"/>
      <c r="C48" s="26"/>
      <c r="D48" s="47"/>
      <c r="E48" s="47"/>
      <c r="F48" s="47"/>
      <c r="G48" s="47"/>
      <c r="H48" s="47"/>
      <c r="I48" s="50"/>
      <c r="J48" s="47"/>
      <c r="K48" s="1"/>
      <c r="L48" s="1"/>
      <c r="M48" s="1"/>
      <c r="N48" s="1"/>
      <c r="O48" s="1"/>
    </row>
    <row r="49" spans="2:15" x14ac:dyDescent="0.25">
      <c r="B49" s="26"/>
      <c r="C49" s="26"/>
      <c r="D49" s="47"/>
      <c r="E49" s="47"/>
      <c r="F49" s="47"/>
      <c r="G49" s="47"/>
      <c r="H49" s="47"/>
      <c r="I49" s="50"/>
      <c r="J49" s="47"/>
      <c r="K49" s="1"/>
      <c r="L49" s="1"/>
      <c r="M49" s="1"/>
      <c r="N49" s="1"/>
      <c r="O49" s="1"/>
    </row>
    <row r="50" spans="2:15" x14ac:dyDescent="0.25">
      <c r="B50" s="26"/>
      <c r="C50" s="26"/>
      <c r="D50" s="47"/>
      <c r="E50" s="47"/>
      <c r="F50" s="47"/>
      <c r="G50" s="47"/>
      <c r="H50" s="47"/>
      <c r="I50" s="50"/>
      <c r="J50" s="47"/>
      <c r="K50" s="1"/>
      <c r="L50" s="1"/>
      <c r="M50" s="1"/>
      <c r="N50" s="1"/>
      <c r="O50" s="1"/>
    </row>
    <row r="51" spans="2:15" x14ac:dyDescent="0.25">
      <c r="B51" s="26"/>
      <c r="C51" s="26"/>
      <c r="D51" s="47"/>
      <c r="E51" s="47"/>
      <c r="F51" s="47"/>
      <c r="G51" s="47"/>
      <c r="H51" s="47"/>
      <c r="I51" s="50"/>
      <c r="J51" s="47"/>
      <c r="K51" s="1"/>
      <c r="L51" s="1"/>
      <c r="M51" s="1"/>
      <c r="N51" s="1"/>
      <c r="O51" s="1"/>
    </row>
    <row r="52" spans="2:15" x14ac:dyDescent="0.25">
      <c r="B52" s="26"/>
      <c r="C52" s="26"/>
      <c r="D52" s="47"/>
      <c r="E52" s="47"/>
      <c r="F52" s="47"/>
      <c r="G52" s="47"/>
      <c r="H52" s="47"/>
      <c r="I52" s="50"/>
      <c r="J52" s="47"/>
      <c r="K52" s="1"/>
      <c r="L52" s="1"/>
      <c r="M52" s="1"/>
      <c r="N52" s="1"/>
      <c r="O52" s="1"/>
    </row>
    <row r="53" spans="2:15" x14ac:dyDescent="0.25">
      <c r="B53" s="26"/>
      <c r="C53" s="26"/>
      <c r="D53" s="47"/>
      <c r="E53" s="47"/>
      <c r="F53" s="47"/>
      <c r="G53" s="47"/>
      <c r="H53" s="47"/>
      <c r="I53" s="50"/>
      <c r="J53" s="47"/>
      <c r="K53" s="1"/>
      <c r="L53" s="1"/>
      <c r="M53" s="1"/>
      <c r="N53" s="1"/>
      <c r="O53" s="1"/>
    </row>
    <row r="54" spans="2:15" x14ac:dyDescent="0.25">
      <c r="B54" s="26"/>
      <c r="C54" s="26"/>
      <c r="D54" s="47"/>
      <c r="E54" s="47"/>
      <c r="F54" s="47"/>
      <c r="G54" s="47"/>
      <c r="H54" s="47"/>
      <c r="I54" s="50"/>
      <c r="J54" s="47"/>
      <c r="K54" s="1"/>
      <c r="L54" s="1"/>
      <c r="M54" s="1"/>
      <c r="N54" s="1"/>
      <c r="O54" s="1"/>
    </row>
    <row r="55" spans="2:15" x14ac:dyDescent="0.25">
      <c r="B55" s="26"/>
      <c r="C55" s="26"/>
      <c r="D55" s="47"/>
      <c r="E55" s="47"/>
      <c r="F55" s="47"/>
      <c r="G55" s="47"/>
      <c r="H55" s="47"/>
      <c r="I55" s="50"/>
      <c r="J55" s="47"/>
      <c r="K55" s="1"/>
      <c r="L55" s="1"/>
      <c r="M55" s="1"/>
      <c r="N55" s="1"/>
      <c r="O55" s="1"/>
    </row>
    <row r="56" spans="2:15" x14ac:dyDescent="0.25">
      <c r="B56" s="26"/>
      <c r="C56" s="26"/>
      <c r="D56" s="47"/>
      <c r="E56" s="47"/>
      <c r="F56" s="47"/>
      <c r="G56" s="47"/>
      <c r="H56" s="47"/>
      <c r="I56" s="50"/>
      <c r="J56" s="47"/>
      <c r="K56" s="1"/>
      <c r="L56" s="1"/>
      <c r="M56" s="1"/>
      <c r="N56" s="1"/>
      <c r="O56" s="1"/>
    </row>
    <row r="57" spans="2:15" x14ac:dyDescent="0.25">
      <c r="B57" s="26"/>
      <c r="C57" s="26"/>
      <c r="D57" s="47"/>
      <c r="E57" s="47"/>
      <c r="F57" s="47"/>
      <c r="G57" s="47"/>
      <c r="H57" s="47"/>
      <c r="I57" s="50"/>
      <c r="J57" s="47"/>
      <c r="K57" s="1"/>
      <c r="L57" s="1"/>
      <c r="M57" s="1"/>
      <c r="N57" s="1"/>
      <c r="O57" s="1"/>
    </row>
    <row r="58" spans="2:15" x14ac:dyDescent="0.25">
      <c r="B58" s="26"/>
      <c r="C58" s="26"/>
      <c r="D58" s="47"/>
      <c r="E58" s="47"/>
      <c r="F58" s="47"/>
      <c r="G58" s="47"/>
      <c r="H58" s="47"/>
      <c r="I58" s="50"/>
      <c r="J58" s="47"/>
      <c r="K58" s="1"/>
      <c r="L58" s="1"/>
      <c r="M58" s="1"/>
      <c r="N58" s="1"/>
      <c r="O58" s="1"/>
    </row>
    <row r="59" spans="2:15" x14ac:dyDescent="0.25">
      <c r="B59" s="26"/>
      <c r="C59" s="26"/>
      <c r="D59" s="47"/>
      <c r="E59" s="47"/>
      <c r="F59" s="47"/>
      <c r="G59" s="47"/>
      <c r="H59" s="47"/>
      <c r="I59" s="50"/>
      <c r="J59" s="47"/>
      <c r="K59" s="1"/>
      <c r="L59" s="1"/>
      <c r="M59" s="1"/>
      <c r="N59" s="1"/>
      <c r="O59" s="1"/>
    </row>
    <row r="60" spans="2:15" x14ac:dyDescent="0.25">
      <c r="B60" s="26"/>
      <c r="C60" s="26"/>
      <c r="D60" s="47"/>
      <c r="E60" s="47"/>
      <c r="F60" s="47"/>
      <c r="G60" s="47"/>
      <c r="H60" s="47"/>
      <c r="I60" s="50"/>
      <c r="J60" s="47"/>
      <c r="K60" s="1"/>
      <c r="L60" s="1"/>
      <c r="M60" s="1"/>
      <c r="N60" s="1"/>
      <c r="O60" s="1"/>
    </row>
    <row r="61" spans="2:15" x14ac:dyDescent="0.25">
      <c r="B61" s="26"/>
      <c r="C61" s="26"/>
      <c r="D61" s="47"/>
      <c r="E61" s="47"/>
      <c r="F61" s="47"/>
      <c r="G61" s="47"/>
      <c r="H61" s="47"/>
      <c r="I61" s="50"/>
      <c r="J61" s="47"/>
      <c r="K61" s="1"/>
      <c r="L61" s="1"/>
      <c r="M61" s="1"/>
      <c r="N61" s="1"/>
      <c r="O61" s="1"/>
    </row>
    <row r="62" spans="2:15" x14ac:dyDescent="0.25">
      <c r="B62" s="26"/>
      <c r="C62" s="26"/>
      <c r="D62" s="47"/>
      <c r="E62" s="47"/>
      <c r="F62" s="47"/>
      <c r="G62" s="47"/>
      <c r="H62" s="47"/>
      <c r="I62" s="50"/>
      <c r="J62" s="47"/>
      <c r="K62" s="1"/>
      <c r="L62" s="1"/>
      <c r="M62" s="1"/>
      <c r="N62" s="1"/>
      <c r="O62" s="1"/>
    </row>
    <row r="63" spans="2:15" x14ac:dyDescent="0.25">
      <c r="B63" s="26"/>
      <c r="C63" s="26"/>
      <c r="D63" s="47"/>
      <c r="E63" s="47"/>
      <c r="F63" s="47"/>
      <c r="G63" s="47"/>
      <c r="H63" s="47"/>
      <c r="I63" s="50"/>
      <c r="J63" s="47"/>
      <c r="K63" s="1"/>
      <c r="L63" s="1"/>
      <c r="M63" s="1"/>
      <c r="N63" s="1"/>
      <c r="O63" s="1"/>
    </row>
  </sheetData>
  <sheetProtection selectLockedCells="1"/>
  <mergeCells count="2">
    <mergeCell ref="B2:D2"/>
    <mergeCell ref="B8:M8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sar_Geral_Malhado">
                <anchor moveWithCells="1" sizeWithCells="1">
                  <from>
                    <xdr:col>8</xdr:col>
                    <xdr:colOff>171450</xdr:colOff>
                    <xdr:row>2</xdr:row>
                    <xdr:rowOff>152400</xdr:rowOff>
                  </from>
                  <to>
                    <xdr:col>9</xdr:col>
                    <xdr:colOff>542925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Ramificada</vt:lpstr>
      <vt:lpstr>Malhada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2017-10-13T21:17:51Z</dcterms:modified>
</cp:coreProperties>
</file>